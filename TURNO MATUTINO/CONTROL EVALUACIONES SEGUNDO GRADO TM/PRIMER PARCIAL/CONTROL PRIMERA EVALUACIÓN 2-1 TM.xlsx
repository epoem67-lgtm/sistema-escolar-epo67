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1 ingles iv" sheetId="2" r:id="rId6"/>
    <sheet state="visible" name="2-1 temas selectos de matematic" sheetId="3" r:id="rId7"/>
    <sheet state="visible" name="2-1 conciencia historica i" sheetId="4" r:id="rId8"/>
    <sheet state="visible" name="2-1 taller de cultura digital" sheetId="5" r:id="rId9"/>
    <sheet state="visible" name="2-1 reacciones quimicas y conse" sheetId="6" r:id="rId10"/>
    <sheet state="visible" name="2-1 espacio y sociedad" sheetId="7" r:id="rId11"/>
    <sheet state="visible" name="2-1 ciencias sociales iii" sheetId="8" r:id="rId12"/>
    <sheet state="visible" name="2-1 comunidades virtuales" sheetId="9" r:id="rId13"/>
    <sheet state="visible" name="2-1 mantenimiento de redes de c" sheetId="10" r:id="rId14"/>
    <sheet state="visible" name="2-1 actividades artisticas y cu" sheetId="11" r:id="rId15"/>
    <sheet state="visible" name="2-1 educacion integral en sexua" sheetId="12" r:id="rId16"/>
    <sheet state="visible" name="2-1 temas selectos de igualdad " sheetId="13" r:id="rId1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0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sz val="9.0"/>
      <color theme="1"/>
      <name val="&quot;Century Gothic&quot;"/>
    </font>
    <font>
      <sz val="8.0"/>
      <color theme="1"/>
      <name val="&quot;Century Gothic&quot;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2" numFmtId="1" xfId="0" applyAlignment="1" applyBorder="1" applyFont="1" applyNumberFormat="1">
      <alignment readingOrder="0" shrinkToFit="0" vertical="bottom" wrapText="0"/>
    </xf>
    <xf borderId="23" fillId="3" fontId="12" numFmtId="1" xfId="0" applyAlignment="1" applyBorder="1" applyFill="1" applyFont="1" applyNumberFormat="1">
      <alignment readingOrder="0" shrinkToFit="0" vertical="bottom" wrapText="0"/>
    </xf>
    <xf borderId="14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9" fillId="0" fontId="12" numFmtId="1" xfId="0" applyAlignment="1" applyBorder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3" fontId="15" numFmtId="0" xfId="0" applyAlignment="1" applyBorder="1" applyFont="1">
      <alignment readingOrder="0" shrinkToFit="0" vertical="bottom" wrapText="0"/>
    </xf>
    <xf borderId="29" fillId="0" fontId="12" numFmtId="1" xfId="0" applyAlignment="1" applyBorder="1" applyFont="1" applyNumberFormat="1">
      <alignment horizontal="left" readingOrder="0" shrinkToFit="0" vertical="bottom" wrapText="0"/>
    </xf>
    <xf borderId="23" fillId="0" fontId="12" numFmtId="1" xfId="0" applyAlignment="1" applyBorder="1" applyFont="1" applyNumberFormat="1">
      <alignment horizontal="left" readingOrder="0" shrinkToFit="0" wrapText="0"/>
    </xf>
    <xf borderId="23" fillId="3" fontId="12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3" fontId="16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7" numFmtId="0" xfId="0" applyFont="1"/>
    <xf borderId="30" fillId="0" fontId="18" numFmtId="1" xfId="0" applyAlignment="1" applyBorder="1" applyFont="1" applyNumberFormat="1">
      <alignment horizontal="right" readingOrder="0" shrinkToFit="1" vertical="center" wrapText="0"/>
    </xf>
    <xf borderId="31" fillId="0" fontId="3" numFmtId="0" xfId="0" applyBorder="1" applyFont="1"/>
    <xf borderId="32" fillId="0" fontId="19" numFmtId="0" xfId="0" applyAlignment="1" applyBorder="1" applyFont="1">
      <alignment shrinkToFit="1" vertical="center" wrapText="0"/>
    </xf>
    <xf borderId="0" fillId="0" fontId="20" numFmtId="16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1" xfId="0" applyAlignment="1" applyFont="1" applyNumberFormat="1">
      <alignment horizontal="center" shrinkToFit="0" vertical="center" wrapText="1"/>
    </xf>
    <xf borderId="5" fillId="0" fontId="20" numFmtId="0" xfId="0" applyAlignment="1" applyBorder="1" applyFont="1">
      <alignment horizontal="center" shrinkToFit="0" vertical="center" wrapText="1"/>
    </xf>
    <xf borderId="33" fillId="0" fontId="22" numFmtId="1" xfId="0" applyAlignment="1" applyBorder="1" applyFont="1" applyNumberFormat="1">
      <alignment horizontal="right" shrinkToFit="1" vertical="center" wrapText="0"/>
    </xf>
    <xf borderId="34" fillId="0" fontId="3" numFmtId="0" xfId="0" applyBorder="1" applyFont="1"/>
    <xf borderId="35" fillId="0" fontId="19" numFmtId="0" xfId="0" applyAlignment="1" applyBorder="1" applyFont="1">
      <alignment shrinkToFit="1" vertical="center" wrapText="0"/>
    </xf>
    <xf borderId="36" fillId="0" fontId="19" numFmtId="0" xfId="0" applyAlignment="1" applyBorder="1" applyFont="1">
      <alignment shrinkToFit="1" vertical="center" wrapText="0"/>
    </xf>
    <xf borderId="0" fillId="0" fontId="22" numFmtId="0" xfId="0" applyAlignment="1" applyFont="1">
      <alignment shrinkToFit="1" vertical="center" wrapText="0"/>
    </xf>
    <xf borderId="0" fillId="0" fontId="22" numFmtId="0" xfId="0" applyAlignment="1" applyFont="1">
      <alignment horizontal="center" vertical="center"/>
    </xf>
    <xf borderId="0" fillId="0" fontId="22" numFmtId="0" xfId="0" applyFont="1"/>
    <xf borderId="5" fillId="0" fontId="22" numFmtId="0" xfId="0" applyBorder="1" applyFont="1"/>
    <xf borderId="36" fillId="0" fontId="19" numFmtId="1" xfId="0" applyAlignment="1" applyBorder="1" applyFont="1" applyNumberFormat="1">
      <alignment shrinkToFit="1" vertical="center" wrapText="0"/>
    </xf>
    <xf borderId="20" fillId="0" fontId="22" numFmtId="0" xfId="0" applyAlignment="1" applyBorder="1" applyFont="1">
      <alignment shrinkToFit="1" vertical="center" wrapText="0"/>
    </xf>
    <xf borderId="20" fillId="0" fontId="22" numFmtId="0" xfId="0" applyBorder="1" applyFont="1"/>
    <xf borderId="21" fillId="0" fontId="22" numFmtId="0" xfId="0" applyBorder="1" applyFont="1"/>
    <xf borderId="36" fillId="0" fontId="19" numFmtId="2" xfId="0" applyAlignment="1" applyBorder="1" applyFont="1" applyNumberFormat="1">
      <alignment shrinkToFit="1" vertical="center" wrapText="0"/>
    </xf>
    <xf borderId="37" fillId="0" fontId="5" numFmtId="164" xfId="0" applyAlignment="1" applyBorder="1" applyFont="1" applyNumberFormat="1">
      <alignment horizontal="center" readingOrder="0" shrinkToFit="0" vertical="top" wrapText="1"/>
    </xf>
    <xf borderId="0" fillId="0" fontId="22" numFmtId="0" xfId="0" applyAlignment="1" applyFont="1">
      <alignment horizontal="center" vertical="top"/>
    </xf>
    <xf borderId="0" fillId="0" fontId="7" numFmtId="164" xfId="0" applyAlignment="1" applyFont="1" applyNumberFormat="1">
      <alignment horizontal="center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20" numFmtId="0" xfId="0" applyFont="1"/>
    <xf borderId="38" fillId="0" fontId="18" numFmtId="0" xfId="0" applyAlignment="1" applyBorder="1" applyFont="1">
      <alignment horizontal="right" readingOrder="0" shrinkToFit="1" vertical="center" wrapText="0"/>
    </xf>
    <xf borderId="39" fillId="0" fontId="3" numFmtId="0" xfId="0" applyBorder="1" applyFont="1"/>
    <xf borderId="40" fillId="0" fontId="14" numFmtId="2" xfId="0" applyAlignment="1" applyBorder="1" applyFont="1" applyNumberFormat="1">
      <alignment vertical="center"/>
    </xf>
    <xf borderId="41" fillId="4" fontId="1" numFmtId="0" xfId="0" applyAlignment="1" applyBorder="1" applyFill="1" applyFont="1">
      <alignment vertical="center"/>
    </xf>
    <xf borderId="42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4" numFmtId="0" xfId="0" applyFont="1"/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vertical="center"/>
    </xf>
    <xf borderId="44" fillId="0" fontId="1" numFmtId="0" xfId="0" applyBorder="1" applyFont="1"/>
    <xf borderId="45" fillId="0" fontId="1" numFmtId="0" xfId="0" applyBorder="1" applyFont="1"/>
    <xf borderId="0" fillId="0" fontId="25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2" fillId="2" fontId="6" numFmtId="0" xfId="0" applyAlignment="1" applyBorder="1" applyFont="1">
      <alignment horizontal="center" readingOrder="0" shrinkToFit="0" wrapText="1"/>
    </xf>
    <xf borderId="32" fillId="0" fontId="19" numFmtId="1" xfId="0" applyAlignment="1" applyBorder="1" applyFont="1" applyNumberFormat="1">
      <alignment shrinkToFit="1" vertical="center" wrapText="0"/>
    </xf>
    <xf borderId="35" fillId="0" fontId="19" numFmtId="1" xfId="0" applyAlignment="1" applyBorder="1" applyFont="1" applyNumberFormat="1">
      <alignment shrinkToFit="1" vertical="center" wrapText="0"/>
    </xf>
    <xf borderId="8" fillId="2" fontId="5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0" fillId="0" fontId="11" numFmtId="0" xfId="0" applyFont="1"/>
    <xf borderId="6" fillId="2" fontId="26" numFmtId="0" xfId="0" applyAlignment="1" applyBorder="1" applyFont="1">
      <alignment horizontal="center"/>
    </xf>
    <xf borderId="8" fillId="2" fontId="11" numFmtId="0" xfId="0" applyBorder="1" applyFont="1"/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6" numFmtId="0" xfId="0" applyAlignment="1" applyBorder="1" applyFont="1">
      <alignment horizontal="center" shrinkToFit="0" wrapText="1"/>
    </xf>
    <xf borderId="14" fillId="2" fontId="26" numFmtId="0" xfId="0" applyAlignment="1" applyBorder="1" applyFont="1">
      <alignment horizontal="center" readingOrder="0" shrinkToFit="0" wrapText="1"/>
    </xf>
    <xf borderId="16" fillId="2" fontId="7" numFmtId="0" xfId="0" applyAlignment="1" applyBorder="1" applyFont="1">
      <alignment horizontal="center" shrinkToFit="0" wrapText="1"/>
    </xf>
    <xf borderId="16" fillId="2" fontId="7" numFmtId="0" xfId="0" applyBorder="1" applyFont="1"/>
    <xf borderId="22" fillId="2" fontId="26" numFmtId="0" xfId="0" applyAlignment="1" applyBorder="1" applyFont="1">
      <alignment horizontal="center"/>
    </xf>
    <xf borderId="23" fillId="2" fontId="26" numFmtId="0" xfId="0" applyAlignment="1" applyBorder="1" applyFont="1">
      <alignment horizontal="center"/>
    </xf>
    <xf borderId="15" fillId="2" fontId="26" numFmtId="0" xfId="0" applyAlignment="1" applyBorder="1" applyFont="1">
      <alignment horizontal="center"/>
    </xf>
    <xf borderId="15" fillId="2" fontId="26" numFmtId="0" xfId="0" applyAlignment="1" applyBorder="1" applyFont="1">
      <alignment horizontal="center" readingOrder="0"/>
    </xf>
    <xf borderId="18" fillId="2" fontId="11" numFmtId="0" xfId="0" applyBorder="1" applyFont="1"/>
    <xf borderId="25" fillId="2" fontId="11" numFmtId="0" xfId="0" applyBorder="1" applyFont="1"/>
    <xf borderId="22" fillId="2" fontId="27" numFmtId="0" xfId="0" applyAlignment="1" applyBorder="1" applyFont="1">
      <alignment horizontal="center"/>
    </xf>
    <xf borderId="27" fillId="2" fontId="27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1" numFmtId="0" xfId="0" applyBorder="1" applyFont="1"/>
    <xf borderId="0" fillId="0" fontId="11" numFmtId="1" xfId="0" applyFont="1" applyNumberFormat="1"/>
    <xf borderId="0" fillId="0" fontId="11" numFmtId="164" xfId="0" applyFont="1" applyNumberFormat="1"/>
    <xf borderId="0" fillId="0" fontId="11" numFmtId="1" xfId="0" applyAlignment="1" applyFont="1" applyNumberFormat="1">
      <alignment vertical="bottom"/>
    </xf>
    <xf borderId="30" fillId="0" fontId="28" numFmtId="1" xfId="0" applyAlignment="1" applyBorder="1" applyFont="1" applyNumberFormat="1">
      <alignment horizontal="right"/>
    </xf>
    <xf borderId="32" fillId="0" fontId="19" numFmtId="0" xfId="0" applyAlignment="1" applyBorder="1" applyFont="1">
      <alignment horizontal="right"/>
    </xf>
    <xf borderId="0" fillId="0" fontId="20" numFmtId="164" xfId="0" applyAlignment="1" applyFont="1" applyNumberFormat="1">
      <alignment horizontal="center" shrinkToFit="0" wrapText="1"/>
    </xf>
    <xf borderId="0" fillId="0" fontId="21" numFmtId="1" xfId="0" applyAlignment="1" applyFont="1" applyNumberFormat="1">
      <alignment horizontal="center" shrinkToFit="0" wrapText="1"/>
    </xf>
    <xf borderId="5" fillId="0" fontId="20" numFmtId="0" xfId="0" applyAlignment="1" applyBorder="1" applyFont="1">
      <alignment horizontal="center" shrinkToFit="0" wrapText="1"/>
    </xf>
    <xf borderId="33" fillId="0" fontId="29" numFmtId="1" xfId="0" applyAlignment="1" applyBorder="1" applyFont="1" applyNumberFormat="1">
      <alignment horizontal="right"/>
    </xf>
    <xf borderId="35" fillId="0" fontId="19" numFmtId="0" xfId="0" applyAlignment="1" applyBorder="1" applyFont="1">
      <alignment horizontal="right"/>
    </xf>
    <xf borderId="36" fillId="0" fontId="19" numFmtId="0" xfId="0" applyAlignment="1" applyBorder="1" applyFont="1">
      <alignment horizontal="right"/>
    </xf>
    <xf borderId="36" fillId="0" fontId="19" numFmtId="1" xfId="0" applyAlignment="1" applyBorder="1" applyFont="1" applyNumberForma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36" fillId="0" fontId="19" numFmtId="2" xfId="0" applyAlignment="1" applyBorder="1" applyFont="1" applyNumberFormat="1">
      <alignment horizontal="right"/>
    </xf>
    <xf borderId="37" fillId="0" fontId="26" numFmtId="164" xfId="0" applyAlignment="1" applyBorder="1" applyFont="1" applyNumberFormat="1">
      <alignment horizontal="center" shrinkToFit="0" vertical="top" wrapText="1"/>
    </xf>
    <xf borderId="0" fillId="0" fontId="7" numFmtId="1" xfId="0" applyAlignment="1" applyFont="1" applyNumberForma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38" fillId="0" fontId="28" numFmtId="0" xfId="0" applyAlignment="1" applyBorder="1" applyFont="1">
      <alignment horizontal="right"/>
    </xf>
    <xf borderId="40" fillId="0" fontId="14" numFmtId="2" xfId="0" applyAlignment="1" applyBorder="1" applyFont="1" applyNumberFormat="1">
      <alignment horizontal="right"/>
    </xf>
    <xf borderId="4" fillId="0" fontId="11" numFmtId="0" xfId="0" applyAlignment="1" applyBorder="1" applyFont="1">
      <alignment vertical="bottom"/>
    </xf>
    <xf borderId="41" fillId="3" fontId="11" numFmtId="0" xfId="0" applyBorder="1" applyFont="1"/>
    <xf borderId="42" fillId="3" fontId="11" numFmtId="0" xfId="0" applyBorder="1" applyFont="1"/>
    <xf borderId="0" fillId="3" fontId="11" numFmtId="0" xfId="0" applyFont="1"/>
    <xf borderId="0" fillId="3" fontId="11" numFmtId="1" xfId="0" applyFont="1" applyNumberFormat="1"/>
    <xf borderId="5" fillId="0" fontId="11" numFmtId="0" xfId="0" applyBorder="1" applyFont="1"/>
    <xf borderId="4" fillId="0" fontId="11" numFmtId="0" xfId="0" applyBorder="1" applyFont="1"/>
    <xf borderId="0" fillId="0" fontId="11" numFmtId="2" xfId="0" applyFont="1" applyNumberFormat="1"/>
    <xf borderId="0" fillId="0" fontId="11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43" fillId="0" fontId="11" numFmtId="0" xfId="0" applyBorder="1" applyFont="1"/>
    <xf borderId="44" fillId="0" fontId="11" numFmtId="0" xfId="0" applyBorder="1" applyFont="1"/>
    <xf borderId="44" fillId="0" fontId="11" numFmtId="2" xfId="0" applyBorder="1" applyFont="1" applyNumberFormat="1"/>
    <xf borderId="44" fillId="0" fontId="11" numFmtId="0" xfId="0" applyBorder="1" applyFont="1"/>
    <xf borderId="44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  <xf borderId="45" fillId="0" fontId="11" numFmtId="0" xfId="0" applyAlignment="1" applyBorder="1" applyFont="1">
      <alignment vertical="bottom"/>
    </xf>
    <xf borderId="32" fillId="0" fontId="19" numFmtId="1" xfId="0" applyAlignment="1" applyBorder="1" applyFont="1" applyNumberFormat="1">
      <alignment horizontal="right"/>
    </xf>
    <xf borderId="35" fillId="0" fontId="19" numFmtId="1" xfId="0" applyAlignment="1" applyBorder="1" applyFont="1" applyNumberFormat="1">
      <alignment horizontal="right"/>
    </xf>
    <xf borderId="8" fillId="2" fontId="11" numFmtId="0" xfId="0" applyAlignment="1" applyBorder="1" applyFont="1">
      <alignment horizontal="center" vertical="center"/>
    </xf>
    <xf borderId="37" fillId="0" fontId="26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38" fillId="0" fontId="28" numFmtId="1" xfId="0" applyAlignment="1" applyBorder="1" applyFont="1" applyNumberFormat="1">
      <alignment horizontal="right"/>
    </xf>
    <xf borderId="0" fillId="0" fontId="11" numFmtId="2" xfId="0" applyAlignment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73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71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73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73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133350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72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73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72</xdr:row>
      <xdr:rowOff>200025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238125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72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73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73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238125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72</xdr:row>
      <xdr:rowOff>180975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219075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72</xdr:row>
      <xdr:rowOff>104775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142875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IFERROR(__xludf.DUMMYFUNCTION("IMPORTRANGE(""https://docs.google.com/spreadsheets/d/1Bp_n31YOQY73dChHnRTG6fgXrhI35khhILEo81Ke6AA/edit?gid=868681460#gid=868681460"",""2-1 pensamiento literario!a1:q86"")"),"")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IFERROR(__xludf.DUMMYFUNCTION("""COMPUTED_VALUE"""),"IVONNEGABRIELA CEDILLO POLO")</f>
        <v>IVONNEGABRIELA CEDILLO POLO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LITERARIO")</f>
        <v>PENSAMIENTO LITERARIO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IFERROR(__xludf.DUMMYFUNCTION("""COMPUTED_VALUE"""),7.3)</f>
        <v>7.3</v>
      </c>
      <c r="F17" s="55">
        <f>IFERROR(__xludf.DUMMYFUNCTION("""COMPUTED_VALUE"""),1.4)</f>
        <v>1.4</v>
      </c>
      <c r="G17" s="56"/>
      <c r="H17" s="57">
        <f>IFERROR(__xludf.DUMMYFUNCTION("""COMPUTED_VALUE"""),8.7)</f>
        <v>8.7</v>
      </c>
      <c r="I17" s="58">
        <f>IFERROR(__xludf.DUMMYFUNCTION("""COMPUTED_VALUE"""),0.0)</f>
        <v>0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IFERROR(__xludf.DUMMYFUNCTION("""COMPUTED_VALUE"""),5.4)</f>
        <v>5.4</v>
      </c>
      <c r="F18" s="55">
        <f>IFERROR(__xludf.DUMMYFUNCTION("""COMPUTED_VALUE"""),1.4)</f>
        <v>1.4</v>
      </c>
      <c r="G18" s="56"/>
      <c r="H18" s="57">
        <f>IFERROR(__xludf.DUMMYFUNCTION("""COMPUTED_VALUE"""),6.800000000000001)</f>
        <v>6.8</v>
      </c>
      <c r="I18" s="58">
        <f>IFERROR(__xludf.DUMMYFUNCTION("""COMPUTED_VALUE"""),2.0)</f>
        <v>2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IFERROR(__xludf.DUMMYFUNCTION("""COMPUTED_VALUE"""),7.3)</f>
        <v>7.3</v>
      </c>
      <c r="F19" s="55">
        <f>IFERROR(__xludf.DUMMYFUNCTION("""COMPUTED_VALUE"""),2.0)</f>
        <v>2</v>
      </c>
      <c r="G19" s="56"/>
      <c r="H19" s="57">
        <f>IFERROR(__xludf.DUMMYFUNCTION("""COMPUTED_VALUE"""),9.3)</f>
        <v>9.3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IFERROR(__xludf.DUMMYFUNCTION("""COMPUTED_VALUE"""),6.8)</f>
        <v>6.8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IFERROR(__xludf.DUMMYFUNCTION("""COMPUTED_VALUE"""),9.8)</f>
        <v>9.8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IFERROR(__xludf.DUMMYFUNCTION("""COMPUTED_VALUE"""),7.8)</f>
        <v>7.8</v>
      </c>
      <c r="F21" s="55">
        <f>IFERROR(__xludf.DUMMYFUNCTION("""COMPUTED_VALUE"""),1.8)</f>
        <v>1.8</v>
      </c>
      <c r="G21" s="56"/>
      <c r="H21" s="57">
        <f>IFERROR(__xludf.DUMMYFUNCTION("""COMPUTED_VALUE"""),9.6)</f>
        <v>9.6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IFERROR(__xludf.DUMMYFUNCTION("""COMPUTED_VALUE"""),7.9)</f>
        <v>7.9</v>
      </c>
      <c r="F22" s="55">
        <f>IFERROR(__xludf.DUMMYFUNCTION("""COMPUTED_VALUE"""),1.9)</f>
        <v>1.9</v>
      </c>
      <c r="G22" s="56"/>
      <c r="H22" s="57">
        <f>IFERROR(__xludf.DUMMYFUNCTION("""COMPUTED_VALUE"""),9.8)</f>
        <v>9.8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IFERROR(__xludf.DUMMYFUNCTION("""COMPUTED_VALUE"""),2.3)</f>
        <v>2.3</v>
      </c>
      <c r="F23" s="55">
        <f>IFERROR(__xludf.DUMMYFUNCTION("""COMPUTED_VALUE"""),0.0)</f>
        <v>0</v>
      </c>
      <c r="G23" s="56"/>
      <c r="H23" s="57">
        <f>IFERROR(__xludf.DUMMYFUNCTION("""COMPUTED_VALUE"""),2.3)</f>
        <v>2.3</v>
      </c>
      <c r="I23" s="58">
        <f>IFERROR(__xludf.DUMMYFUNCTION("""COMPUTED_VALUE"""),0.0)</f>
        <v>0</v>
      </c>
      <c r="J23" s="59">
        <f>IFERROR(__xludf.DUMMYFUNCTION("""COMPUTED_VALUE"""),5.0)</f>
        <v>5</v>
      </c>
      <c r="K23" s="51"/>
      <c r="L23" s="61">
        <f>IFERROR(__xludf.DUMMYFUNCTION("""COMPUTED_VALUE"""),2.0)</f>
        <v>2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IFERROR(__xludf.DUMMYFUNCTION("""COMPUTED_VALUE"""),3.8)</f>
        <v>3.8</v>
      </c>
      <c r="F24" s="55">
        <f>IFERROR(__xludf.DUMMYFUNCTION("""COMPUTED_VALUE"""),1.8)</f>
        <v>1.8</v>
      </c>
      <c r="G24" s="56"/>
      <c r="H24" s="57">
        <f>IFERROR(__xludf.DUMMYFUNCTION("""COMPUTED_VALUE"""),5.6)</f>
        <v>5.6</v>
      </c>
      <c r="I24" s="58">
        <f>IFERROR(__xludf.DUMMYFUNCTION("""COMPUTED_VALUE"""),1.0)</f>
        <v>1</v>
      </c>
      <c r="J24" s="59">
        <f>IFERROR(__xludf.DUMMYFUNCTION("""COMPUTED_VALUE"""),5.0)</f>
        <v>5</v>
      </c>
      <c r="K24" s="51"/>
      <c r="L24" s="61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IFERROR(__xludf.DUMMYFUNCTION("""COMPUTED_VALUE"""),58.0)</f>
        <v>58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IFERROR(__xludf.DUMMYFUNCTION("""COMPUTED_VALUE"""),7.9)</f>
        <v>7.9</v>
      </c>
      <c r="F25" s="55">
        <f>IFERROR(__xludf.DUMMYFUNCTION("""COMPUTED_VALUE"""),2.0)</f>
        <v>2</v>
      </c>
      <c r="G25" s="56"/>
      <c r="H25" s="57">
        <f>IFERROR(__xludf.DUMMYFUNCTION("""COMPUTED_VALUE"""),9.9)</f>
        <v>9.9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IFERROR(__xludf.DUMMYFUNCTION("""COMPUTED_VALUE"""),4.7)</f>
        <v>4.7</v>
      </c>
      <c r="F26" s="55">
        <f>IFERROR(__xludf.DUMMYFUNCTION("""COMPUTED_VALUE"""),1.9)</f>
        <v>1.9</v>
      </c>
      <c r="G26" s="56"/>
      <c r="H26" s="57">
        <f>IFERROR(__xludf.DUMMYFUNCTION("""COMPUTED_VALUE"""),6.6)</f>
        <v>6.6</v>
      </c>
      <c r="I26" s="58">
        <f>IFERROR(__xludf.DUMMYFUNCTION("""COMPUTED_VALUE"""),4.0)</f>
        <v>4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IFERROR(__xludf.DUMMYFUNCTION("""COMPUTED_VALUE"""),7.3)</f>
        <v>7.3</v>
      </c>
      <c r="F27" s="55">
        <f>IFERROR(__xludf.DUMMYFUNCTION("""COMPUTED_VALUE"""),2.0)</f>
        <v>2</v>
      </c>
      <c r="G27" s="56"/>
      <c r="H27" s="57">
        <f>IFERROR(__xludf.DUMMYFUNCTION("""COMPUTED_VALUE"""),9.3)</f>
        <v>9.3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IFERROR(__xludf.DUMMYFUNCTION("""COMPUTED_VALUE"""),6.4)</f>
        <v>6.4</v>
      </c>
      <c r="F28" s="55">
        <f>IFERROR(__xludf.DUMMYFUNCTION("""COMPUTED_VALUE"""),2.0)</f>
        <v>2</v>
      </c>
      <c r="G28" s="56"/>
      <c r="H28" s="57">
        <f>IFERROR(__xludf.DUMMYFUNCTION("""COMPUTED_VALUE"""),8.4)</f>
        <v>8.4</v>
      </c>
      <c r="I28" s="58">
        <f>IFERROR(__xludf.DUMMYFUNCTION("""COMPUTED_VALUE"""),0.0)</f>
        <v>0</v>
      </c>
      <c r="J28" s="59">
        <f>IFERROR(__xludf.DUMMYFUNCTION("""COMPUTED_VALUE"""),8.0)</f>
        <v>8</v>
      </c>
      <c r="K28" s="51"/>
      <c r="L28" s="61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IFERROR(__xludf.DUMMYFUNCTION("""COMPUTED_VALUE"""),7.0)</f>
        <v>7</v>
      </c>
      <c r="F29" s="55">
        <f>IFERROR(__xludf.DUMMYFUNCTION("""COMPUTED_VALUE"""),1.4)</f>
        <v>1.4</v>
      </c>
      <c r="G29" s="56"/>
      <c r="H29" s="57">
        <f>IFERROR(__xludf.DUMMYFUNCTION("""COMPUTED_VALUE"""),8.4)</f>
        <v>8.4</v>
      </c>
      <c r="I29" s="58">
        <f>IFERROR(__xludf.DUMMYFUNCTION("""COMPUTED_VALUE"""),0.0)</f>
        <v>0</v>
      </c>
      <c r="J29" s="59">
        <f>IFERROR(__xludf.DUMMYFUNCTION("""COMPUTED_VALUE"""),8.0)</f>
        <v>8</v>
      </c>
      <c r="K29" s="51"/>
      <c r="L29" s="61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IFERROR(__xludf.DUMMYFUNCTION("""COMPUTED_VALUE"""),1.8)</f>
        <v>1.8</v>
      </c>
      <c r="F30" s="55">
        <f>IFERROR(__xludf.DUMMYFUNCTION("""COMPUTED_VALUE"""),1.9)</f>
        <v>1.9</v>
      </c>
      <c r="G30" s="56"/>
      <c r="H30" s="57">
        <f>IFERROR(__xludf.DUMMYFUNCTION("""COMPUTED_VALUE"""),3.7)</f>
        <v>3.7</v>
      </c>
      <c r="I30" s="58">
        <f>IFERROR(__xludf.DUMMYFUNCTION("""COMPUTED_VALUE"""),4.0)</f>
        <v>4</v>
      </c>
      <c r="J30" s="59">
        <f>IFERROR(__xludf.DUMMYFUNCTION("""COMPUTED_VALUE"""),5.0)</f>
        <v>5</v>
      </c>
      <c r="K30" s="51"/>
      <c r="L30" s="61">
        <f>IFERROR(__xludf.DUMMYFUNCTION("""COMPUTED_VALUE"""),3.0)</f>
        <v>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IFERROR(__xludf.DUMMYFUNCTION("""COMPUTED_VALUE"""),7.5)</f>
        <v>7.5</v>
      </c>
      <c r="F31" s="55">
        <f>IFERROR(__xludf.DUMMYFUNCTION("""COMPUTED_VALUE"""),1.8)</f>
        <v>1.8</v>
      </c>
      <c r="G31" s="56">
        <f>IFERROR(__xludf.DUMMYFUNCTION("""COMPUTED_VALUE"""),1.0)</f>
        <v>1</v>
      </c>
      <c r="H31" s="57">
        <f>IFERROR(__xludf.DUMMYFUNCTION("""COMPUTED_VALUE"""),10.3)</f>
        <v>10.3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IFERROR(__xludf.DUMMYFUNCTION("""COMPUTED_VALUE"""),5.8)</f>
        <v>5.8</v>
      </c>
      <c r="F32" s="55">
        <f>IFERROR(__xludf.DUMMYFUNCTION("""COMPUTED_VALUE"""),1.9)</f>
        <v>1.9</v>
      </c>
      <c r="G32" s="56"/>
      <c r="H32" s="57">
        <f>IFERROR(__xludf.DUMMYFUNCTION("""COMPUTED_VALUE"""),7.699999999999999)</f>
        <v>7.7</v>
      </c>
      <c r="I32" s="58">
        <f>IFERROR(__xludf.DUMMYFUNCTION("""COMPUTED_VALUE"""),0.0)</f>
        <v>0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IFERROR(__xludf.DUMMYFUNCTION("""COMPUTED_VALUE"""),7.8)</f>
        <v>7.8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IFERROR(__xludf.DUMMYFUNCTION("""COMPUTED_VALUE"""),10.8)</f>
        <v>10.8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IFERROR(__xludf.DUMMYFUNCTION("""COMPUTED_VALUE"""),2.2)</f>
        <v>2.2</v>
      </c>
      <c r="F34" s="55">
        <f>IFERROR(__xludf.DUMMYFUNCTION("""COMPUTED_VALUE"""),1.5)</f>
        <v>1.5</v>
      </c>
      <c r="G34" s="56"/>
      <c r="H34" s="57">
        <f>IFERROR(__xludf.DUMMYFUNCTION("""COMPUTED_VALUE"""),3.7)</f>
        <v>3.7</v>
      </c>
      <c r="I34" s="58">
        <f>IFERROR(__xludf.DUMMYFUNCTION("""COMPUTED_VALUE"""),6.0)</f>
        <v>6</v>
      </c>
      <c r="J34" s="59">
        <f>IFERROR(__xludf.DUMMYFUNCTION("""COMPUTED_VALUE"""),5.0)</f>
        <v>5</v>
      </c>
      <c r="K34" s="51"/>
      <c r="L34" s="61">
        <f>IFERROR(__xludf.DUMMYFUNCTION("""COMPUTED_VALUE"""),3.0)</f>
        <v>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IFERROR(__xludf.DUMMYFUNCTION("""COMPUTED_VALUE"""),6.6)</f>
        <v>6.6</v>
      </c>
      <c r="F35" s="55">
        <f>IFERROR(__xludf.DUMMYFUNCTION("""COMPUTED_VALUE"""),1.4)</f>
        <v>1.4</v>
      </c>
      <c r="G35" s="56">
        <f>IFERROR(__xludf.DUMMYFUNCTION("""COMPUTED_VALUE"""),1.0)</f>
        <v>1</v>
      </c>
      <c r="H35" s="57">
        <f>IFERROR(__xludf.DUMMYFUNCTION("""COMPUTED_VALUE"""),9.0)</f>
        <v>9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IFERROR(__xludf.DUMMYFUNCTION("""COMPUTED_VALUE"""),7.2)</f>
        <v>7.2</v>
      </c>
      <c r="F36" s="55">
        <f>IFERROR(__xludf.DUMMYFUNCTION("""COMPUTED_VALUE"""),1.4)</f>
        <v>1.4</v>
      </c>
      <c r="G36" s="56">
        <f>IFERROR(__xludf.DUMMYFUNCTION("""COMPUTED_VALUE"""),1.0)</f>
        <v>1</v>
      </c>
      <c r="H36" s="57">
        <f>IFERROR(__xludf.DUMMYFUNCTION("""COMPUTED_VALUE"""),9.6)</f>
        <v>9.6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IFERROR(__xludf.DUMMYFUNCTION("""COMPUTED_VALUE"""),6.5)</f>
        <v>6.5</v>
      </c>
      <c r="F37" s="55">
        <f>IFERROR(__xludf.DUMMYFUNCTION("""COMPUTED_VALUE"""),1.6)</f>
        <v>1.6</v>
      </c>
      <c r="G37" s="56">
        <f>IFERROR(__xludf.DUMMYFUNCTION("""COMPUTED_VALUE"""),1.0)</f>
        <v>1</v>
      </c>
      <c r="H37" s="57">
        <f>IFERROR(__xludf.DUMMYFUNCTION("""COMPUTED_VALUE"""),9.1)</f>
        <v>9.1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IFERROR(__xludf.DUMMYFUNCTION("""COMPUTED_VALUE"""),7.1)</f>
        <v>7.1</v>
      </c>
      <c r="F38" s="55">
        <f>IFERROR(__xludf.DUMMYFUNCTION("""COMPUTED_VALUE"""),2.0)</f>
        <v>2</v>
      </c>
      <c r="G38" s="56"/>
      <c r="H38" s="57">
        <f>IFERROR(__xludf.DUMMYFUNCTION("""COMPUTED_VALUE"""),9.1)</f>
        <v>9.1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IFERROR(__xludf.DUMMYFUNCTION("""COMPUTED_VALUE"""),7.3)</f>
        <v>7.3</v>
      </c>
      <c r="F39" s="55">
        <f>IFERROR(__xludf.DUMMYFUNCTION("""COMPUTED_VALUE"""),2.0)</f>
        <v>2</v>
      </c>
      <c r="G39" s="56"/>
      <c r="H39" s="57">
        <f>IFERROR(__xludf.DUMMYFUNCTION("""COMPUTED_VALUE"""),9.3)</f>
        <v>9.3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IFERROR(__xludf.DUMMYFUNCTION("""COMPUTED_VALUE"""),2.2)</f>
        <v>2.2</v>
      </c>
      <c r="F40" s="55">
        <f>IFERROR(__xludf.DUMMYFUNCTION("""COMPUTED_VALUE"""),1.9)</f>
        <v>1.9</v>
      </c>
      <c r="G40" s="56"/>
      <c r="H40" s="57">
        <f>IFERROR(__xludf.DUMMYFUNCTION("""COMPUTED_VALUE"""),4.1)</f>
        <v>4.1</v>
      </c>
      <c r="I40" s="58">
        <f>IFERROR(__xludf.DUMMYFUNCTION("""COMPUTED_VALUE"""),0.0)</f>
        <v>0</v>
      </c>
      <c r="J40" s="59">
        <f>IFERROR(__xludf.DUMMYFUNCTION("""COMPUTED_VALUE"""),5.0)</f>
        <v>5</v>
      </c>
      <c r="K40" s="51"/>
      <c r="L40" s="61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IFERROR(__xludf.DUMMYFUNCTION("""COMPUTED_VALUE"""),5.8)</f>
        <v>5.8</v>
      </c>
      <c r="F41" s="55">
        <f>IFERROR(__xludf.DUMMYFUNCTION("""COMPUTED_VALUE"""),1.4)</f>
        <v>1.4</v>
      </c>
      <c r="G41" s="56"/>
      <c r="H41" s="57">
        <f>IFERROR(__xludf.DUMMYFUNCTION("""COMPUTED_VALUE"""),7.199999999999999)</f>
        <v>7.2</v>
      </c>
      <c r="I41" s="58">
        <f>IFERROR(__xludf.DUMMYFUNCTION("""COMPUTED_VALUE"""),0.0)</f>
        <v>0</v>
      </c>
      <c r="J41" s="59">
        <f>IFERROR(__xludf.DUMMYFUNCTION("""COMPUTED_VALUE"""),7.0)</f>
        <v>7</v>
      </c>
      <c r="K41" s="51"/>
      <c r="L41" s="61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IFERROR(__xludf.DUMMYFUNCTION("""COMPUTED_VALUE"""),3.5)</f>
        <v>3.5</v>
      </c>
      <c r="F42" s="55">
        <f>IFERROR(__xludf.DUMMYFUNCTION("""COMPUTED_VALUE"""),1.8)</f>
        <v>1.8</v>
      </c>
      <c r="G42" s="56"/>
      <c r="H42" s="57">
        <f>IFERROR(__xludf.DUMMYFUNCTION("""COMPUTED_VALUE"""),5.3)</f>
        <v>5.3</v>
      </c>
      <c r="I42" s="58">
        <f>IFERROR(__xludf.DUMMYFUNCTION("""COMPUTED_VALUE"""),5.0)</f>
        <v>5</v>
      </c>
      <c r="J42" s="59">
        <f>IFERROR(__xludf.DUMMYFUNCTION("""COMPUTED_VALUE"""),5.0)</f>
        <v>5</v>
      </c>
      <c r="K42" s="51"/>
      <c r="L42" s="61">
        <f>IFERROR(__xludf.DUMMYFUNCTION("""COMPUTED_VALUE"""),5.0)</f>
        <v>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IFERROR(__xludf.DUMMYFUNCTION("""COMPUTED_VALUE"""),6.5)</f>
        <v>6.5</v>
      </c>
      <c r="F43" s="55">
        <f>IFERROR(__xludf.DUMMYFUNCTION("""COMPUTED_VALUE"""),1.4)</f>
        <v>1.4</v>
      </c>
      <c r="G43" s="56">
        <f>IFERROR(__xludf.DUMMYFUNCTION("""COMPUTED_VALUE"""),1.0)</f>
        <v>1</v>
      </c>
      <c r="H43" s="57">
        <f>IFERROR(__xludf.DUMMYFUNCTION("""COMPUTED_VALUE"""),8.9)</f>
        <v>8.9</v>
      </c>
      <c r="I43" s="58">
        <f>IFERROR(__xludf.DUMMYFUNCTION("""COMPUTED_VALUE"""),0.0)</f>
        <v>0</v>
      </c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IFERROR(__xludf.DUMMYFUNCTION("""COMPUTED_VALUE"""),4.7)</f>
        <v>4.7</v>
      </c>
      <c r="F44" s="55">
        <f>IFERROR(__xludf.DUMMYFUNCTION("""COMPUTED_VALUE"""),1.6)</f>
        <v>1.6</v>
      </c>
      <c r="G44" s="56"/>
      <c r="H44" s="57">
        <f>IFERROR(__xludf.DUMMYFUNCTION("""COMPUTED_VALUE"""),6.300000000000001)</f>
        <v>6.3</v>
      </c>
      <c r="I44" s="58">
        <f>IFERROR(__xludf.DUMMYFUNCTION("""COMPUTED_VALUE"""),0.0)</f>
        <v>0</v>
      </c>
      <c r="J44" s="59">
        <f>IFERROR(__xludf.DUMMYFUNCTION("""COMPUTED_VALUE"""),6.0)</f>
        <v>6</v>
      </c>
      <c r="K44" s="51"/>
      <c r="L44" s="61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IFERROR(__xludf.DUMMYFUNCTION("""COMPUTED_VALUE"""),6.7)</f>
        <v>6.7</v>
      </c>
      <c r="F45" s="55">
        <f>IFERROR(__xludf.DUMMYFUNCTION("""COMPUTED_VALUE"""),1.4)</f>
        <v>1.4</v>
      </c>
      <c r="G45" s="56"/>
      <c r="H45" s="57">
        <f>IFERROR(__xludf.DUMMYFUNCTION("""COMPUTED_VALUE"""),8.1)</f>
        <v>8.1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IFERROR(__xludf.DUMMYFUNCTION("""COMPUTED_VALUE"""),6.0)</f>
        <v>6</v>
      </c>
      <c r="F46" s="55">
        <f>IFERROR(__xludf.DUMMYFUNCTION("""COMPUTED_VALUE"""),1.6)</f>
        <v>1.6</v>
      </c>
      <c r="G46" s="56"/>
      <c r="H46" s="57">
        <f>IFERROR(__xludf.DUMMYFUNCTION("""COMPUTED_VALUE"""),7.6)</f>
        <v>7.6</v>
      </c>
      <c r="I46" s="58">
        <f>IFERROR(__xludf.DUMMYFUNCTION("""COMPUTED_VALUE"""),0.0)</f>
        <v>0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IFERROR(__xludf.DUMMYFUNCTION("""COMPUTED_VALUE"""),6.7)</f>
        <v>6.7</v>
      </c>
      <c r="F47" s="55">
        <f>IFERROR(__xludf.DUMMYFUNCTION("""COMPUTED_VALUE"""),1.8)</f>
        <v>1.8</v>
      </c>
      <c r="G47" s="56">
        <f>IFERROR(__xludf.DUMMYFUNCTION("""COMPUTED_VALUE"""),1.0)</f>
        <v>1</v>
      </c>
      <c r="H47" s="57">
        <f>IFERROR(__xludf.DUMMYFUNCTION("""COMPUTED_VALUE"""),9.5)</f>
        <v>9.5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IFERROR(__xludf.DUMMYFUNCTION("""COMPUTED_VALUE"""),6.3)</f>
        <v>6.3</v>
      </c>
      <c r="F48" s="55">
        <f>IFERROR(__xludf.DUMMYFUNCTION("""COMPUTED_VALUE"""),1.6)</f>
        <v>1.6</v>
      </c>
      <c r="G48" s="56">
        <f>IFERROR(__xludf.DUMMYFUNCTION("""COMPUTED_VALUE"""),1.0)</f>
        <v>1</v>
      </c>
      <c r="H48" s="57">
        <f>IFERROR(__xludf.DUMMYFUNCTION("""COMPUTED_VALUE"""),8.9)</f>
        <v>8.9</v>
      </c>
      <c r="I48" s="58">
        <f>IFERROR(__xludf.DUMMYFUNCTION("""COMPUTED_VALUE"""),0.0)</f>
        <v>0</v>
      </c>
      <c r="J48" s="59">
        <f>IFERROR(__xludf.DUMMYFUNCTION("""COMPUTED_VALUE"""),9.0)</f>
        <v>9</v>
      </c>
      <c r="K48" s="51"/>
      <c r="L48" s="61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IFERROR(__xludf.DUMMYFUNCTION("""COMPUTED_VALUE"""),6.9)</f>
        <v>6.9</v>
      </c>
      <c r="F49" s="55">
        <f>IFERROR(__xludf.DUMMYFUNCTION("""COMPUTED_VALUE"""),1.9)</f>
        <v>1.9</v>
      </c>
      <c r="G49" s="56"/>
      <c r="H49" s="57">
        <f>IFERROR(__xludf.DUMMYFUNCTION("""COMPUTED_VALUE"""),8.8)</f>
        <v>8.8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IFERROR(__xludf.DUMMYFUNCTION("""COMPUTED_VALUE"""),6.6)</f>
        <v>6.6</v>
      </c>
      <c r="F50" s="55">
        <f>IFERROR(__xludf.DUMMYFUNCTION("""COMPUTED_VALUE"""),1.9)</f>
        <v>1.9</v>
      </c>
      <c r="G50" s="56"/>
      <c r="H50" s="57">
        <f>IFERROR(__xludf.DUMMYFUNCTION("""COMPUTED_VALUE"""),8.5)</f>
        <v>8.5</v>
      </c>
      <c r="I50" s="58">
        <f>IFERROR(__xludf.DUMMYFUNCTION("""COMPUTED_VALUE"""),0.0)</f>
        <v>0</v>
      </c>
      <c r="J50" s="59">
        <f>IFERROR(__xludf.DUMMYFUNCTION("""COMPUTED_VALUE"""),9.0)</f>
        <v>9</v>
      </c>
      <c r="K50" s="51"/>
      <c r="L50" s="61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IFERROR(__xludf.DUMMYFUNCTION("""COMPUTED_VALUE"""),7.1)</f>
        <v>7.1</v>
      </c>
      <c r="F51" s="55">
        <f>IFERROR(__xludf.DUMMYFUNCTION("""COMPUTED_VALUE"""),1.4)</f>
        <v>1.4</v>
      </c>
      <c r="G51" s="56"/>
      <c r="H51" s="57">
        <f>IFERROR(__xludf.DUMMYFUNCTION("""COMPUTED_VALUE"""),8.5)</f>
        <v>8.5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IFERROR(__xludf.DUMMYFUNCTION("""COMPUTED_VALUE"""),7.8)</f>
        <v>7.8</v>
      </c>
      <c r="F52" s="55">
        <f>IFERROR(__xludf.DUMMYFUNCTION("""COMPUTED_VALUE"""),1.8)</f>
        <v>1.8</v>
      </c>
      <c r="G52" s="56"/>
      <c r="H52" s="57">
        <f>IFERROR(__xludf.DUMMYFUNCTION("""COMPUTED_VALUE"""),9.6)</f>
        <v>9.6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IFERROR(__xludf.DUMMYFUNCTION("""COMPUTED_VALUE"""),1.8)</f>
        <v>1.8</v>
      </c>
      <c r="F53" s="55">
        <f>IFERROR(__xludf.DUMMYFUNCTION("""COMPUTED_VALUE"""),1.4)</f>
        <v>1.4</v>
      </c>
      <c r="G53" s="56"/>
      <c r="H53" s="57">
        <f>IFERROR(__xludf.DUMMYFUNCTION("""COMPUTED_VALUE"""),3.2)</f>
        <v>3.2</v>
      </c>
      <c r="I53" s="58">
        <f>IFERROR(__xludf.DUMMYFUNCTION("""COMPUTED_VALUE"""),5.0)</f>
        <v>5</v>
      </c>
      <c r="J53" s="59">
        <f>IFERROR(__xludf.DUMMYFUNCTION("""COMPUTED_VALUE"""),5.0)</f>
        <v>5</v>
      </c>
      <c r="K53" s="51"/>
      <c r="L53" s="60">
        <f>IFERROR(__xludf.DUMMYFUNCTION("""COMPUTED_VALUE"""),3.0)</f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IFERROR(__xludf.DUMMYFUNCTION("""COMPUTED_VALUE"""),6.6)</f>
        <v>6.6</v>
      </c>
      <c r="F54" s="55">
        <f>IFERROR(__xludf.DUMMYFUNCTION("""COMPUTED_VALUE"""),0.0)</f>
        <v>0</v>
      </c>
      <c r="G54" s="56"/>
      <c r="H54" s="57">
        <f>IFERROR(__xludf.DUMMYFUNCTION("""COMPUTED_VALUE"""),6.6)</f>
        <v>6.6</v>
      </c>
      <c r="I54" s="68">
        <f>IFERROR(__xludf.DUMMYFUNCTION("""COMPUTED_VALUE"""),1.0)</f>
        <v>1</v>
      </c>
      <c r="J54" s="59">
        <f>IFERROR(__xludf.DUMMYFUNCTION("""COMPUTED_VALUE"""),7.0)</f>
        <v>7</v>
      </c>
      <c r="K54" s="51"/>
      <c r="L54" s="60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IFERROR(__xludf.DUMMYFUNCTION("""COMPUTED_VALUE"""),6.3)</f>
        <v>6.3</v>
      </c>
      <c r="F55" s="55">
        <f>IFERROR(__xludf.DUMMYFUNCTION("""COMPUTED_VALUE"""),1.8)</f>
        <v>1.8</v>
      </c>
      <c r="G55" s="56"/>
      <c r="H55" s="57">
        <f>IFERROR(__xludf.DUMMYFUNCTION("""COMPUTED_VALUE"""),8.1)</f>
        <v>8.1</v>
      </c>
      <c r="I55" s="68">
        <f>IFERROR(__xludf.DUMMYFUNCTION("""COMPUTED_VALUE"""),0.0)</f>
        <v>0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IFERROR(__xludf.DUMMYFUNCTION("""COMPUTED_VALUE"""),7.5)</f>
        <v>7.5</v>
      </c>
      <c r="F56" s="55">
        <f>IFERROR(__xludf.DUMMYFUNCTION("""COMPUTED_VALUE"""),1.8)</f>
        <v>1.8</v>
      </c>
      <c r="G56" s="56">
        <f>IFERROR(__xludf.DUMMYFUNCTION("""COMPUTED_VALUE"""),1.0)</f>
        <v>1</v>
      </c>
      <c r="H56" s="57">
        <f>IFERROR(__xludf.DUMMYFUNCTION("""COMPUTED_VALUE"""),10.3)</f>
        <v>10.3</v>
      </c>
      <c r="I56" s="68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IFERROR(__xludf.DUMMYFUNCTION("""COMPUTED_VALUE"""),7.6)</f>
        <v>7.6</v>
      </c>
      <c r="F57" s="55">
        <f>IFERROR(__xludf.DUMMYFUNCTION("""COMPUTED_VALUE"""),1.9)</f>
        <v>1.9</v>
      </c>
      <c r="G57" s="56"/>
      <c r="H57" s="57">
        <f>IFERROR(__xludf.DUMMYFUNCTION("""COMPUTED_VALUE"""),9.5)</f>
        <v>9.5</v>
      </c>
      <c r="I57" s="68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IFERROR(__xludf.DUMMYFUNCTION("""COMPUTED_VALUE"""),5.4)</f>
        <v>5.4</v>
      </c>
      <c r="F58" s="55">
        <f>IFERROR(__xludf.DUMMYFUNCTION("""COMPUTED_VALUE"""),1.8)</f>
        <v>1.8</v>
      </c>
      <c r="G58" s="56"/>
      <c r="H58" s="57">
        <f>IFERROR(__xludf.DUMMYFUNCTION("""COMPUTED_VALUE"""),7.2)</f>
        <v>7.2</v>
      </c>
      <c r="I58" s="68">
        <f>IFERROR(__xludf.DUMMYFUNCTION("""COMPUTED_VALUE"""),0.0)</f>
        <v>0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IFERROR(__xludf.DUMMYFUNCTION("""COMPUTED_VALUE"""),7.2)</f>
        <v>7.2</v>
      </c>
      <c r="F59" s="55">
        <f>IFERROR(__xludf.DUMMYFUNCTION("""COMPUTED_VALUE"""),1.8)</f>
        <v>1.8</v>
      </c>
      <c r="G59" s="56"/>
      <c r="H59" s="57">
        <f>IFERROR(__xludf.DUMMYFUNCTION("""COMPUTED_VALUE"""),9.0)</f>
        <v>9</v>
      </c>
      <c r="I59" s="68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IFERROR(__xludf.DUMMYFUNCTION("""COMPUTED_VALUE"""),6.6)</f>
        <v>6.6</v>
      </c>
      <c r="F60" s="55">
        <f>IFERROR(__xludf.DUMMYFUNCTION("""COMPUTED_VALUE"""),1.4)</f>
        <v>1.4</v>
      </c>
      <c r="G60" s="56"/>
      <c r="H60" s="57">
        <f>IFERROR(__xludf.DUMMYFUNCTION("""COMPUTED_VALUE"""),8.0)</f>
        <v>8</v>
      </c>
      <c r="I60" s="68">
        <f>IFERROR(__xludf.DUMMYFUNCTION("""COMPUTED_VALUE"""),0.0)</f>
        <v>0</v>
      </c>
      <c r="J60" s="59">
        <f>IFERROR(__xludf.DUMMYFUNCTION("""COMPUTED_VALUE"""),8.0)</f>
        <v>8</v>
      </c>
      <c r="K60" s="51"/>
      <c r="L60" s="60">
        <f>IFERROR(__xludf.DUMMYFUNCTION("""COMPUTED_VALUE"""),8.0)</f>
        <v>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IFERROR(__xludf.DUMMYFUNCTION("""COMPUTED_VALUE"""),5.5)</f>
        <v>5.5</v>
      </c>
      <c r="F61" s="55">
        <f>IFERROR(__xludf.DUMMYFUNCTION("""COMPUTED_VALUE"""),1.8)</f>
        <v>1.8</v>
      </c>
      <c r="G61" s="56"/>
      <c r="H61" s="57">
        <f>IFERROR(__xludf.DUMMYFUNCTION("""COMPUTED_VALUE"""),7.3)</f>
        <v>7.3</v>
      </c>
      <c r="I61" s="68">
        <f>IFERROR(__xludf.DUMMYFUNCTION("""COMPUTED_VALUE"""),0.0)</f>
        <v>0</v>
      </c>
      <c r="J61" s="59">
        <f>IFERROR(__xludf.DUMMYFUNCTION("""COMPUTED_VALUE"""),7.0)</f>
        <v>7</v>
      </c>
      <c r="K61" s="51"/>
      <c r="L61" s="60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IFERROR(__xludf.DUMMYFUNCTION("""COMPUTED_VALUE"""),6.4)</f>
        <v>6.4</v>
      </c>
      <c r="F62" s="55">
        <f>IFERROR(__xludf.DUMMYFUNCTION("""COMPUTED_VALUE"""),1.8)</f>
        <v>1.8</v>
      </c>
      <c r="G62" s="56">
        <f>IFERROR(__xludf.DUMMYFUNCTION("""COMPUTED_VALUE"""),1.0)</f>
        <v>1</v>
      </c>
      <c r="H62" s="57">
        <f>IFERROR(__xludf.DUMMYFUNCTION("""COMPUTED_VALUE"""),9.200000000000001)</f>
        <v>9.2</v>
      </c>
      <c r="I62" s="68">
        <f>IFERROR(__xludf.DUMMYFUNCTION("""COMPUTED_VALUE"""),0.0)</f>
        <v>0</v>
      </c>
      <c r="J62" s="59">
        <f>IFERROR(__xludf.DUMMYFUNCTION("""COMPUTED_VALUE"""),9.0)</f>
        <v>9</v>
      </c>
      <c r="K62" s="51"/>
      <c r="L62" s="60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IFERROR(__xludf.DUMMYFUNCTION("""COMPUTED_VALUE"""),4.2)</f>
        <v>4.2</v>
      </c>
      <c r="F63" s="55">
        <f>IFERROR(__xludf.DUMMYFUNCTION("""COMPUTED_VALUE"""),1.4)</f>
        <v>1.4</v>
      </c>
      <c r="G63" s="56"/>
      <c r="H63" s="57">
        <f>IFERROR(__xludf.DUMMYFUNCTION("""COMPUTED_VALUE"""),5.6)</f>
        <v>5.6</v>
      </c>
      <c r="I63" s="68">
        <f>IFERROR(__xludf.DUMMYFUNCTION("""COMPUTED_VALUE"""),0.0)</f>
        <v>0</v>
      </c>
      <c r="J63" s="59">
        <f>IFERROR(__xludf.DUMMYFUNCTION("""COMPUTED_VALUE"""),5.0)</f>
        <v>5</v>
      </c>
      <c r="K63" s="51"/>
      <c r="L63" s="60">
        <f>IFERROR(__xludf.DUMMYFUNCTION("""COMPUTED_VALUE"""),5.0)</f>
        <v>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75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82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3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IFERROR(__xludf.DUMMYFUNCTION("""COMPUTED_VALUE"""),39.0)</f>
        <v>39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IFERROR(__xludf.DUMMYFUNCTION("""COMPUTED_VALUE"""),8.0)</f>
        <v>8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IFERROR(__xludf.DUMMYFUNCTION("""COMPUTED_VALUE"""),82.97872340425532)</f>
        <v>82.9787234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IFERROR(__xludf.DUMMYFUNCTION("""COMPUTED_VALUE"""),8.085106382978724)</f>
        <v>8.085106383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3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IFERROR(__xludf.DUMMYFUNCTION("IMPORTRANGE(""https://docs.google.com/spreadsheets/d/1HPE5TEKBOu3O40f04LRpHNrEE5hiGRvXPuWG9UEzjKs/edit?gid=868681460#gid=868681460"",""2-1 ingles iv!A1:Q86"")"),"")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IV")</f>
        <v>INGLÉS IV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IFERROR(__xludf.DUMMYFUNCTION("""COMPUTED_VALUE"""),5.5)</f>
        <v>5.5</v>
      </c>
      <c r="F17" s="55">
        <f>IFERROR(__xludf.DUMMYFUNCTION("""COMPUTED_VALUE"""),2.0)</f>
        <v>2</v>
      </c>
      <c r="G17" s="56"/>
      <c r="H17" s="57">
        <f>IFERROR(__xludf.DUMMYFUNCTION("""COMPUTED_VALUE"""),7.5)</f>
        <v>7.5</v>
      </c>
      <c r="I17" s="58">
        <f>IFERROR(__xludf.DUMMYFUNCTION("""COMPUTED_VALUE"""),3.0)</f>
        <v>3</v>
      </c>
      <c r="J17" s="59">
        <f>IFERROR(__xludf.DUMMYFUNCTION("""COMPUTED_VALUE"""),8.0)</f>
        <v>8</v>
      </c>
      <c r="K17" s="60"/>
      <c r="L17" s="61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IFERROR(__xludf.DUMMYFUNCTION("""COMPUTED_VALUE"""),4.7)</f>
        <v>4.7</v>
      </c>
      <c r="F18" s="55">
        <f>IFERROR(__xludf.DUMMYFUNCTION("""COMPUTED_VALUE"""),2.0)</f>
        <v>2</v>
      </c>
      <c r="G18" s="56"/>
      <c r="H18" s="57">
        <f>IFERROR(__xludf.DUMMYFUNCTION("""COMPUTED_VALUE"""),6.7)</f>
        <v>6.7</v>
      </c>
      <c r="I18" s="58">
        <f>IFERROR(__xludf.DUMMYFUNCTION("""COMPUTED_VALUE"""),3.0)</f>
        <v>3</v>
      </c>
      <c r="J18" s="59">
        <f>IFERROR(__xludf.DUMMYFUNCTION("""COMPUTED_VALUE"""),7.0)</f>
        <v>7</v>
      </c>
      <c r="K18" s="51"/>
      <c r="L18" s="61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IFERROR(__xludf.DUMMYFUNCTION("""COMPUTED_VALUE"""),5.4)</f>
        <v>5.4</v>
      </c>
      <c r="F19" s="55">
        <f>IFERROR(__xludf.DUMMYFUNCTION("""COMPUTED_VALUE"""),2.0)</f>
        <v>2</v>
      </c>
      <c r="G19" s="56"/>
      <c r="H19" s="57">
        <f>IFERROR(__xludf.DUMMYFUNCTION("""COMPUTED_VALUE"""),7.4)</f>
        <v>7.4</v>
      </c>
      <c r="I19" s="58">
        <f>IFERROR(__xludf.DUMMYFUNCTION("""COMPUTED_VALUE"""),0.0)</f>
        <v>0</v>
      </c>
      <c r="J19" s="59">
        <f>IFERROR(__xludf.DUMMYFUNCTION("""COMPUTED_VALUE"""),7.0)</f>
        <v>7</v>
      </c>
      <c r="K19" s="51"/>
      <c r="L19" s="61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IFERROR(__xludf.DUMMYFUNCTION("""COMPUTED_VALUE"""),6.9)</f>
        <v>6.9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IFERROR(__xludf.DUMMYFUNCTION("""COMPUTED_VALUE"""),9.9)</f>
        <v>9.9</v>
      </c>
      <c r="I20" s="58">
        <f>IFERROR(__xludf.DUMMYFUNCTION("""COMPUTED_VALUE"""),2.0)</f>
        <v>2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IFERROR(__xludf.DUMMYFUNCTION("""COMPUTED_VALUE"""),7.5)</f>
        <v>7.5</v>
      </c>
      <c r="F21" s="55">
        <f>IFERROR(__xludf.DUMMYFUNCTION("""COMPUTED_VALUE"""),2.0)</f>
        <v>2</v>
      </c>
      <c r="G21" s="56"/>
      <c r="H21" s="57">
        <f>IFERROR(__xludf.DUMMYFUNCTION("""COMPUTED_VALUE"""),9.5)</f>
        <v>9.5</v>
      </c>
      <c r="I21" s="58">
        <f>IFERROR(__xludf.DUMMYFUNCTION("""COMPUTED_VALUE"""),2.0)</f>
        <v>2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IFERROR(__xludf.DUMMYFUNCTION("""COMPUTED_VALUE"""),7.6)</f>
        <v>7.6</v>
      </c>
      <c r="F22" s="55">
        <f>IFERROR(__xludf.DUMMYFUNCTION("""COMPUTED_VALUE"""),2.0)</f>
        <v>2</v>
      </c>
      <c r="G22" s="56"/>
      <c r="H22" s="57">
        <f>IFERROR(__xludf.DUMMYFUNCTION("""COMPUTED_VALUE"""),9.6)</f>
        <v>9.6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IFERROR(__xludf.DUMMYFUNCTION("""COMPUTED_VALUE"""),3.3)</f>
        <v>3.3</v>
      </c>
      <c r="F23" s="55">
        <f>IFERROR(__xludf.DUMMYFUNCTION("""COMPUTED_VALUE"""),0.0)</f>
        <v>0</v>
      </c>
      <c r="G23" s="56"/>
      <c r="H23" s="57">
        <f>IFERROR(__xludf.DUMMYFUNCTION("""COMPUTED_VALUE"""),3.3)</f>
        <v>3.3</v>
      </c>
      <c r="I23" s="58">
        <f>IFERROR(__xludf.DUMMYFUNCTION("""COMPUTED_VALUE"""),1.0)</f>
        <v>1</v>
      </c>
      <c r="J23" s="59">
        <f>IFERROR(__xludf.DUMMYFUNCTION("""COMPUTED_VALUE"""),5.0)</f>
        <v>5</v>
      </c>
      <c r="K23" s="51"/>
      <c r="L23" s="61">
        <f>IFERROR(__xludf.DUMMYFUNCTION("""COMPUTED_VALUE"""),3.0)</f>
        <v>3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IFERROR(__xludf.DUMMYFUNCTION("""COMPUTED_VALUE"""),4.0)</f>
        <v>4</v>
      </c>
      <c r="F24" s="55">
        <f>IFERROR(__xludf.DUMMYFUNCTION("""COMPUTED_VALUE"""),2.0)</f>
        <v>2</v>
      </c>
      <c r="G24" s="56"/>
      <c r="H24" s="57">
        <f>IFERROR(__xludf.DUMMYFUNCTION("""COMPUTED_VALUE"""),6.0)</f>
        <v>6</v>
      </c>
      <c r="I24" s="58">
        <f>IFERROR(__xludf.DUMMYFUNCTION("""COMPUTED_VALUE"""),2.0)</f>
        <v>2</v>
      </c>
      <c r="J24" s="59">
        <f>IFERROR(__xludf.DUMMYFUNCTION("""COMPUTED_VALUE"""),6.0)</f>
        <v>6</v>
      </c>
      <c r="K24" s="51"/>
      <c r="L24" s="61">
        <f>IFERROR(__xludf.DUMMYFUNCTION("""COMPUTED_VALUE"""),6.0)</f>
        <v>6</v>
      </c>
      <c r="M24" s="1" t="str">
        <f>IFERROR(__xludf.DUMMYFUNCTION("""COMPUTED_VALUE"""),"TOTAL")</f>
        <v>TOTAL</v>
      </c>
      <c r="N24" s="1">
        <f>IFERROR(__xludf.DUMMYFUNCTION("""COMPUTED_VALUE"""),17.0)</f>
        <v>17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IFERROR(__xludf.DUMMYFUNCTION("""COMPUTED_VALUE"""),6.0)</f>
        <v>6</v>
      </c>
      <c r="F25" s="55">
        <f>IFERROR(__xludf.DUMMYFUNCTION("""COMPUTED_VALUE"""),2.0)</f>
        <v>2</v>
      </c>
      <c r="G25" s="56"/>
      <c r="H25" s="57">
        <f>IFERROR(__xludf.DUMMYFUNCTION("""COMPUTED_VALUE"""),8.0)</f>
        <v>8</v>
      </c>
      <c r="I25" s="58">
        <f>IFERROR(__xludf.DUMMYFUNCTION("""COMPUTED_VALUE"""),0.0)</f>
        <v>0</v>
      </c>
      <c r="J25" s="59">
        <f>IFERROR(__xludf.DUMMYFUNCTION("""COMPUTED_VALUE"""),8.0)</f>
        <v>8</v>
      </c>
      <c r="K25" s="51"/>
      <c r="L25" s="61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IFERROR(__xludf.DUMMYFUNCTION("""COMPUTED_VALUE"""),3.8)</f>
        <v>3.8</v>
      </c>
      <c r="F26" s="55">
        <f>IFERROR(__xludf.DUMMYFUNCTION("""COMPUTED_VALUE"""),2.0)</f>
        <v>2</v>
      </c>
      <c r="G26" s="56"/>
      <c r="H26" s="57">
        <f>IFERROR(__xludf.DUMMYFUNCTION("""COMPUTED_VALUE"""),5.8)</f>
        <v>5.8</v>
      </c>
      <c r="I26" s="58">
        <f>IFERROR(__xludf.DUMMYFUNCTION("""COMPUTED_VALUE"""),1.0)</f>
        <v>1</v>
      </c>
      <c r="J26" s="59">
        <f>IFERROR(__xludf.DUMMYFUNCTION("""COMPUTED_VALUE"""),5.0)</f>
        <v>5</v>
      </c>
      <c r="K26" s="51"/>
      <c r="L26" s="61">
        <f>IFERROR(__xludf.DUMMYFUNCTION("""COMPUTED_VALUE"""),5.0)</f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IFERROR(__xludf.DUMMYFUNCTION("""COMPUTED_VALUE"""),7.2)</f>
        <v>7.2</v>
      </c>
      <c r="F27" s="55">
        <f>IFERROR(__xludf.DUMMYFUNCTION("""COMPUTED_VALUE"""),2.0)</f>
        <v>2</v>
      </c>
      <c r="G27" s="56"/>
      <c r="H27" s="57">
        <f>IFERROR(__xludf.DUMMYFUNCTION("""COMPUTED_VALUE"""),9.2)</f>
        <v>9.2</v>
      </c>
      <c r="I27" s="58">
        <f>IFERROR(__xludf.DUMMYFUNCTION("""COMPUTED_VALUE"""),2.0)</f>
        <v>2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IFERROR(__xludf.DUMMYFUNCTION("""COMPUTED_VALUE"""),7.0)</f>
        <v>7</v>
      </c>
      <c r="F28" s="55">
        <f>IFERROR(__xludf.DUMMYFUNCTION("""COMPUTED_VALUE"""),2.0)</f>
        <v>2</v>
      </c>
      <c r="G28" s="56"/>
      <c r="H28" s="57">
        <f>IFERROR(__xludf.DUMMYFUNCTION("""COMPUTED_VALUE"""),9.0)</f>
        <v>9</v>
      </c>
      <c r="I28" s="58">
        <f>IFERROR(__xludf.DUMMYFUNCTION("""COMPUTED_VALUE"""),0.0)</f>
        <v>0</v>
      </c>
      <c r="J28" s="59">
        <f>IFERROR(__xludf.DUMMYFUNCTION("""COMPUTED_VALUE"""),9.0)</f>
        <v>9</v>
      </c>
      <c r="K28" s="51"/>
      <c r="L28" s="61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IFERROR(__xludf.DUMMYFUNCTION("""COMPUTED_VALUE"""),3.1)</f>
        <v>3.1</v>
      </c>
      <c r="F29" s="55">
        <f>IFERROR(__xludf.DUMMYFUNCTION("""COMPUTED_VALUE"""),2.0)</f>
        <v>2</v>
      </c>
      <c r="G29" s="56"/>
      <c r="H29" s="57">
        <f>IFERROR(__xludf.DUMMYFUNCTION("""COMPUTED_VALUE"""),5.1)</f>
        <v>5.1</v>
      </c>
      <c r="I29" s="58">
        <f>IFERROR(__xludf.DUMMYFUNCTION("""COMPUTED_VALUE"""),1.0)</f>
        <v>1</v>
      </c>
      <c r="J29" s="59">
        <f>IFERROR(__xludf.DUMMYFUNCTION("""COMPUTED_VALUE"""),5.0)</f>
        <v>5</v>
      </c>
      <c r="K29" s="51"/>
      <c r="L29" s="61">
        <f>IFERROR(__xludf.DUMMYFUNCTION("""COMPUTED_VALUE"""),5.0)</f>
        <v>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/>
      <c r="F30" s="55"/>
      <c r="G30" s="56"/>
      <c r="H30" s="57">
        <f>IFERROR(__xludf.DUMMYFUNCTION("""COMPUTED_VALUE"""),0.0)</f>
        <v>0</v>
      </c>
      <c r="I30" s="58">
        <f>IFERROR(__xludf.DUMMYFUNCTION("""COMPUTED_VALUE"""),8.0)</f>
        <v>8</v>
      </c>
      <c r="J30" s="59">
        <f>IFERROR(__xludf.DUMMYFUNCTION("""COMPUTED_VALUE"""),5.0)</f>
        <v>5</v>
      </c>
      <c r="K30" s="51"/>
      <c r="L30" s="61">
        <f>IFERROR(__xludf.DUMMYFUNCTION("""COMPUTED_VALUE"""),0.0)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IFERROR(__xludf.DUMMYFUNCTION("""COMPUTED_VALUE"""),7.1)</f>
        <v>7.1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IFERROR(__xludf.DUMMYFUNCTION("""COMPUTED_VALUE"""),10.1)</f>
        <v>10.1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IFERROR(__xludf.DUMMYFUNCTION("""COMPUTED_VALUE"""),4.9)</f>
        <v>4.9</v>
      </c>
      <c r="F32" s="55">
        <f>IFERROR(__xludf.DUMMYFUNCTION("""COMPUTED_VALUE"""),2.0)</f>
        <v>2</v>
      </c>
      <c r="G32" s="56"/>
      <c r="H32" s="57">
        <f>IFERROR(__xludf.DUMMYFUNCTION("""COMPUTED_VALUE"""),6.9)</f>
        <v>6.9</v>
      </c>
      <c r="I32" s="58">
        <f>IFERROR(__xludf.DUMMYFUNCTION("""COMPUTED_VALUE"""),1.0)</f>
        <v>1</v>
      </c>
      <c r="J32" s="59">
        <f>IFERROR(__xludf.DUMMYFUNCTION("""COMPUTED_VALUE"""),7.0)</f>
        <v>7</v>
      </c>
      <c r="K32" s="51"/>
      <c r="L32" s="61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IFERROR(__xludf.DUMMYFUNCTION("""COMPUTED_VALUE"""),7.7)</f>
        <v>7.7</v>
      </c>
      <c r="F33" s="55">
        <f>IFERROR(__xludf.DUMMYFUNCTION("""COMPUTED_VALUE"""),2.0)</f>
        <v>2</v>
      </c>
      <c r="G33" s="56"/>
      <c r="H33" s="57">
        <f>IFERROR(__xludf.DUMMYFUNCTION("""COMPUTED_VALUE"""),9.7)</f>
        <v>9.7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IFERROR(__xludf.DUMMYFUNCTION("""COMPUTED_VALUE"""),5.0)</f>
        <v>5</v>
      </c>
      <c r="F34" s="55">
        <f>IFERROR(__xludf.DUMMYFUNCTION("""COMPUTED_VALUE"""),2.0)</f>
        <v>2</v>
      </c>
      <c r="G34" s="56"/>
      <c r="H34" s="57">
        <f>IFERROR(__xludf.DUMMYFUNCTION("""COMPUTED_VALUE"""),7.0)</f>
        <v>7</v>
      </c>
      <c r="I34" s="58">
        <f>IFERROR(__xludf.DUMMYFUNCTION("""COMPUTED_VALUE"""),2.0)</f>
        <v>2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IFERROR(__xludf.DUMMYFUNCTION("""COMPUTED_VALUE"""),5.5)</f>
        <v>5.5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IFERROR(__xludf.DUMMYFUNCTION("""COMPUTED_VALUE"""),8.5)</f>
        <v>8.5</v>
      </c>
      <c r="I35" s="58">
        <f>IFERROR(__xludf.DUMMYFUNCTION("""COMPUTED_VALUE"""),2.0)</f>
        <v>2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IFERROR(__xludf.DUMMYFUNCTION("""COMPUTED_VALUE"""),7.5)</f>
        <v>7.5</v>
      </c>
      <c r="F36" s="55">
        <f>IFERROR(__xludf.DUMMYFUNCTION("""COMPUTED_VALUE"""),2.0)</f>
        <v>2</v>
      </c>
      <c r="G36" s="56"/>
      <c r="H36" s="57">
        <f>IFERROR(__xludf.DUMMYFUNCTION("""COMPUTED_VALUE"""),9.5)</f>
        <v>9.5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IFERROR(__xludf.DUMMYFUNCTION("""COMPUTED_VALUE"""),5.9)</f>
        <v>5.9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IFERROR(__xludf.DUMMYFUNCTION("""COMPUTED_VALUE"""),8.9)</f>
        <v>8.9</v>
      </c>
      <c r="I37" s="58">
        <f>IFERROR(__xludf.DUMMYFUNCTION("""COMPUTED_VALUE"""),1.0)</f>
        <v>1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IFERROR(__xludf.DUMMYFUNCTION("""COMPUTED_VALUE"""),5.6)</f>
        <v>5.6</v>
      </c>
      <c r="F38" s="55">
        <f>IFERROR(__xludf.DUMMYFUNCTION("""COMPUTED_VALUE"""),2.0)</f>
        <v>2</v>
      </c>
      <c r="G38" s="56"/>
      <c r="H38" s="57">
        <f>IFERROR(__xludf.DUMMYFUNCTION("""COMPUTED_VALUE"""),7.6)</f>
        <v>7.6</v>
      </c>
      <c r="I38" s="58">
        <f>IFERROR(__xludf.DUMMYFUNCTION("""COMPUTED_VALUE"""),1.0)</f>
        <v>1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IFERROR(__xludf.DUMMYFUNCTION("""COMPUTED_VALUE"""),6.7)</f>
        <v>6.7</v>
      </c>
      <c r="F39" s="55">
        <f>IFERROR(__xludf.DUMMYFUNCTION("""COMPUTED_VALUE"""),2.0)</f>
        <v>2</v>
      </c>
      <c r="G39" s="56"/>
      <c r="H39" s="57">
        <f>IFERROR(__xludf.DUMMYFUNCTION("""COMPUTED_VALUE"""),8.7)</f>
        <v>8.7</v>
      </c>
      <c r="I39" s="58">
        <f>IFERROR(__xludf.DUMMYFUNCTION("""COMPUTED_VALUE"""),2.0)</f>
        <v>2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IFERROR(__xludf.DUMMYFUNCTION("""COMPUTED_VALUE"""),3.1)</f>
        <v>3.1</v>
      </c>
      <c r="F40" s="55">
        <f>IFERROR(__xludf.DUMMYFUNCTION("""COMPUTED_VALUE"""),2.0)</f>
        <v>2</v>
      </c>
      <c r="G40" s="56"/>
      <c r="H40" s="57">
        <f>IFERROR(__xludf.DUMMYFUNCTION("""COMPUTED_VALUE"""),5.1)</f>
        <v>5.1</v>
      </c>
      <c r="I40" s="58">
        <f>IFERROR(__xludf.DUMMYFUNCTION("""COMPUTED_VALUE"""),3.0)</f>
        <v>3</v>
      </c>
      <c r="J40" s="59">
        <f>IFERROR(__xludf.DUMMYFUNCTION("""COMPUTED_VALUE"""),5.0)</f>
        <v>5</v>
      </c>
      <c r="K40" s="51"/>
      <c r="L40" s="61">
        <f>IFERROR(__xludf.DUMMYFUNCTION("""COMPUTED_VALUE"""),5.0)</f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IFERROR(__xludf.DUMMYFUNCTION("""COMPUTED_VALUE"""),6.2)</f>
        <v>6.2</v>
      </c>
      <c r="F41" s="55">
        <f>IFERROR(__xludf.DUMMYFUNCTION("""COMPUTED_VALUE"""),2.0)</f>
        <v>2</v>
      </c>
      <c r="G41" s="56"/>
      <c r="H41" s="57">
        <f>IFERROR(__xludf.DUMMYFUNCTION("""COMPUTED_VALUE"""),8.2)</f>
        <v>8.2</v>
      </c>
      <c r="I41" s="58">
        <f>IFERROR(__xludf.DUMMYFUNCTION("""COMPUTED_VALUE"""),0.0)</f>
        <v>0</v>
      </c>
      <c r="J41" s="59">
        <f>IFERROR(__xludf.DUMMYFUNCTION("""COMPUTED_VALUE"""),8.0)</f>
        <v>8</v>
      </c>
      <c r="K41" s="51"/>
      <c r="L41" s="61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IFERROR(__xludf.DUMMYFUNCTION("""COMPUTED_VALUE"""),5.2)</f>
        <v>5.2</v>
      </c>
      <c r="F42" s="55">
        <f>IFERROR(__xludf.DUMMYFUNCTION("""COMPUTED_VALUE"""),2.0)</f>
        <v>2</v>
      </c>
      <c r="G42" s="56"/>
      <c r="H42" s="57">
        <f>IFERROR(__xludf.DUMMYFUNCTION("""COMPUTED_VALUE"""),7.2)</f>
        <v>7.2</v>
      </c>
      <c r="I42" s="58">
        <f>IFERROR(__xludf.DUMMYFUNCTION("""COMPUTED_VALUE"""),0.0)</f>
        <v>0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IFERROR(__xludf.DUMMYFUNCTION("""COMPUTED_VALUE"""),6.2)</f>
        <v>6.2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IFERROR(__xludf.DUMMYFUNCTION("""COMPUTED_VALUE"""),9.2)</f>
        <v>9.2</v>
      </c>
      <c r="I43" s="58">
        <f>IFERROR(__xludf.DUMMYFUNCTION("""COMPUTED_VALUE"""),0.0)</f>
        <v>0</v>
      </c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IFERROR(__xludf.DUMMYFUNCTION("""COMPUTED_VALUE"""),6.3)</f>
        <v>6.3</v>
      </c>
      <c r="F44" s="55">
        <f>IFERROR(__xludf.DUMMYFUNCTION("""COMPUTED_VALUE"""),2.0)</f>
        <v>2</v>
      </c>
      <c r="G44" s="56"/>
      <c r="H44" s="57">
        <f>IFERROR(__xludf.DUMMYFUNCTION("""COMPUTED_VALUE"""),8.3)</f>
        <v>8.3</v>
      </c>
      <c r="I44" s="58">
        <f>IFERROR(__xludf.DUMMYFUNCTION("""COMPUTED_VALUE"""),0.0)</f>
        <v>0</v>
      </c>
      <c r="J44" s="59">
        <f>IFERROR(__xludf.DUMMYFUNCTION("""COMPUTED_VALUE"""),8.0)</f>
        <v>8</v>
      </c>
      <c r="K44" s="51"/>
      <c r="L44" s="61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IFERROR(__xludf.DUMMYFUNCTION("""COMPUTED_VALUE"""),5.6)</f>
        <v>5.6</v>
      </c>
      <c r="F45" s="55">
        <f>IFERROR(__xludf.DUMMYFUNCTION("""COMPUTED_VALUE"""),2.0)</f>
        <v>2</v>
      </c>
      <c r="G45" s="56"/>
      <c r="H45" s="57">
        <f>IFERROR(__xludf.DUMMYFUNCTION("""COMPUTED_VALUE"""),7.6)</f>
        <v>7.6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IFERROR(__xludf.DUMMYFUNCTION("""COMPUTED_VALUE"""),0.0)</f>
        <v>0</v>
      </c>
      <c r="F46" s="55">
        <f>IFERROR(__xludf.DUMMYFUNCTION("""COMPUTED_VALUE"""),0.0)</f>
        <v>0</v>
      </c>
      <c r="G46" s="56"/>
      <c r="H46" s="57">
        <f>IFERROR(__xludf.DUMMYFUNCTION("""COMPUTED_VALUE"""),0.0)</f>
        <v>0</v>
      </c>
      <c r="I46" s="58">
        <f>IFERROR(__xludf.DUMMYFUNCTION("""COMPUTED_VALUE"""),2.0)</f>
        <v>2</v>
      </c>
      <c r="J46" s="59">
        <f>IFERROR(__xludf.DUMMYFUNCTION("""COMPUTED_VALUE"""),5.0)</f>
        <v>5</v>
      </c>
      <c r="K46" s="51"/>
      <c r="L46" s="61">
        <f>IFERROR(__xludf.DUMMYFUNCTION("""COMPUTED_VALUE"""),0.0)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IFERROR(__xludf.DUMMYFUNCTION("""COMPUTED_VALUE"""),7.5)</f>
        <v>7.5</v>
      </c>
      <c r="F47" s="55">
        <f>IFERROR(__xludf.DUMMYFUNCTION("""COMPUTED_VALUE"""),2.0)</f>
        <v>2</v>
      </c>
      <c r="G47" s="56"/>
      <c r="H47" s="57">
        <f>IFERROR(__xludf.DUMMYFUNCTION("""COMPUTED_VALUE"""),9.5)</f>
        <v>9.5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IFERROR(__xludf.DUMMYFUNCTION("""COMPUTED_VALUE"""),7.4)</f>
        <v>7.4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IFERROR(__xludf.DUMMYFUNCTION("""COMPUTED_VALUE"""),10.4)</f>
        <v>10.4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IFERROR(__xludf.DUMMYFUNCTION("""COMPUTED_VALUE"""),6.2)</f>
        <v>6.2</v>
      </c>
      <c r="F49" s="55">
        <f>IFERROR(__xludf.DUMMYFUNCTION("""COMPUTED_VALUE"""),2.0)</f>
        <v>2</v>
      </c>
      <c r="G49" s="56"/>
      <c r="H49" s="57">
        <f>IFERROR(__xludf.DUMMYFUNCTION("""COMPUTED_VALUE"""),8.2)</f>
        <v>8.2</v>
      </c>
      <c r="I49" s="58">
        <f>IFERROR(__xludf.DUMMYFUNCTION("""COMPUTED_VALUE"""),1.0)</f>
        <v>1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IFERROR(__xludf.DUMMYFUNCTION("""COMPUTED_VALUE"""),4.5)</f>
        <v>4.5</v>
      </c>
      <c r="F50" s="55">
        <f>IFERROR(__xludf.DUMMYFUNCTION("""COMPUTED_VALUE"""),2.0)</f>
        <v>2</v>
      </c>
      <c r="G50" s="56"/>
      <c r="H50" s="57">
        <f>IFERROR(__xludf.DUMMYFUNCTION("""COMPUTED_VALUE"""),6.5)</f>
        <v>6.5</v>
      </c>
      <c r="I50" s="58">
        <f>IFERROR(__xludf.DUMMYFUNCTION("""COMPUTED_VALUE"""),0.0)</f>
        <v>0</v>
      </c>
      <c r="J50" s="59">
        <f>IFERROR(__xludf.DUMMYFUNCTION("""COMPUTED_VALUE"""),7.0)</f>
        <v>7</v>
      </c>
      <c r="K50" s="51"/>
      <c r="L50" s="61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IFERROR(__xludf.DUMMYFUNCTION("""COMPUTED_VALUE"""),5.1)</f>
        <v>5.1</v>
      </c>
      <c r="F51" s="55">
        <f>IFERROR(__xludf.DUMMYFUNCTION("""COMPUTED_VALUE"""),2.0)</f>
        <v>2</v>
      </c>
      <c r="G51" s="56"/>
      <c r="H51" s="57">
        <f>IFERROR(__xludf.DUMMYFUNCTION("""COMPUTED_VALUE"""),7.1)</f>
        <v>7.1</v>
      </c>
      <c r="I51" s="58">
        <f>IFERROR(__xludf.DUMMYFUNCTION("""COMPUTED_VALUE"""),1.0)</f>
        <v>1</v>
      </c>
      <c r="J51" s="59">
        <f>IFERROR(__xludf.DUMMYFUNCTION("""COMPUTED_VALUE"""),7.0)</f>
        <v>7</v>
      </c>
      <c r="K51" s="51"/>
      <c r="L51" s="60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IFERROR(__xludf.DUMMYFUNCTION("""COMPUTED_VALUE"""),6.8)</f>
        <v>6.8</v>
      </c>
      <c r="F52" s="55">
        <f>IFERROR(__xludf.DUMMYFUNCTION("""COMPUTED_VALUE"""),2.0)</f>
        <v>2</v>
      </c>
      <c r="G52" s="56"/>
      <c r="H52" s="57">
        <f>IFERROR(__xludf.DUMMYFUNCTION("""COMPUTED_VALUE"""),8.8)</f>
        <v>8.8</v>
      </c>
      <c r="I52" s="58">
        <f>IFERROR(__xludf.DUMMYFUNCTION("""COMPUTED_VALUE"""),1.0)</f>
        <v>1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IFERROR(__xludf.DUMMYFUNCTION("""COMPUTED_VALUE"""),5.3)</f>
        <v>5.3</v>
      </c>
      <c r="F53" s="55">
        <f>IFERROR(__xludf.DUMMYFUNCTION("""COMPUTED_VALUE"""),2.0)</f>
        <v>2</v>
      </c>
      <c r="G53" s="56"/>
      <c r="H53" s="57">
        <f>IFERROR(__xludf.DUMMYFUNCTION("""COMPUTED_VALUE"""),7.3)</f>
        <v>7.3</v>
      </c>
      <c r="I53" s="58">
        <f>IFERROR(__xludf.DUMMYFUNCTION("""COMPUTED_VALUE"""),0.0)</f>
        <v>0</v>
      </c>
      <c r="J53" s="59">
        <f>IFERROR(__xludf.DUMMYFUNCTION("""COMPUTED_VALUE"""),7.0)</f>
        <v>7</v>
      </c>
      <c r="K53" s="51"/>
      <c r="L53" s="60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IFERROR(__xludf.DUMMYFUNCTION("""COMPUTED_VALUE"""),7.8)</f>
        <v>7.8</v>
      </c>
      <c r="F54" s="55">
        <f>IFERROR(__xludf.DUMMYFUNCTION("""COMPUTED_VALUE"""),2.0)</f>
        <v>2</v>
      </c>
      <c r="G54" s="56"/>
      <c r="H54" s="57">
        <f>IFERROR(__xludf.DUMMYFUNCTION("""COMPUTED_VALUE"""),9.8)</f>
        <v>9.8</v>
      </c>
      <c r="I54" s="6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IFERROR(__xludf.DUMMYFUNCTION("""COMPUTED_VALUE"""),6.0)</f>
        <v>6</v>
      </c>
      <c r="F55" s="55">
        <f>IFERROR(__xludf.DUMMYFUNCTION("""COMPUTED_VALUE"""),2.0)</f>
        <v>2</v>
      </c>
      <c r="G55" s="56"/>
      <c r="H55" s="57">
        <f>IFERROR(__xludf.DUMMYFUNCTION("""COMPUTED_VALUE"""),8.0)</f>
        <v>8</v>
      </c>
      <c r="I55" s="68">
        <f>IFERROR(__xludf.DUMMYFUNCTION("""COMPUTED_VALUE"""),1.0)</f>
        <v>1</v>
      </c>
      <c r="J55" s="59">
        <f>IFERROR(__xludf.DUMMYFUNCTION("""COMPUTED_VALUE"""),8.0)</f>
        <v>8</v>
      </c>
      <c r="K55" s="51"/>
      <c r="L55" s="60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IFERROR(__xludf.DUMMYFUNCTION("""COMPUTED_VALUE"""),3.0)</f>
        <v>3</v>
      </c>
      <c r="F56" s="55">
        <f>IFERROR(__xludf.DUMMYFUNCTION("""COMPUTED_VALUE"""),2.0)</f>
        <v>2</v>
      </c>
      <c r="G56" s="56"/>
      <c r="H56" s="57">
        <f>IFERROR(__xludf.DUMMYFUNCTION("""COMPUTED_VALUE"""),5.0)</f>
        <v>5</v>
      </c>
      <c r="I56" s="68">
        <f>IFERROR(__xludf.DUMMYFUNCTION("""COMPUTED_VALUE"""),3.0)</f>
        <v>3</v>
      </c>
      <c r="J56" s="59">
        <f>IFERROR(__xludf.DUMMYFUNCTION("""COMPUTED_VALUE"""),5.0)</f>
        <v>5</v>
      </c>
      <c r="K56" s="51"/>
      <c r="L56" s="60">
        <f>IFERROR(__xludf.DUMMYFUNCTION("""COMPUTED_VALUE"""),5.0)</f>
        <v>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IFERROR(__xludf.DUMMYFUNCTION("""COMPUTED_VALUE"""),7.1)</f>
        <v>7.1</v>
      </c>
      <c r="F57" s="55">
        <f>IFERROR(__xludf.DUMMYFUNCTION("""COMPUTED_VALUE"""),2.0)</f>
        <v>2</v>
      </c>
      <c r="G57" s="56"/>
      <c r="H57" s="57">
        <f>IFERROR(__xludf.DUMMYFUNCTION("""COMPUTED_VALUE"""),9.1)</f>
        <v>9.1</v>
      </c>
      <c r="I57" s="68">
        <f>IFERROR(__xludf.DUMMYFUNCTION("""COMPUTED_VALUE"""),0.0)</f>
        <v>0</v>
      </c>
      <c r="J57" s="59">
        <f>IFERROR(__xludf.DUMMYFUNCTION("""COMPUTED_VALUE"""),9.0)</f>
        <v>9</v>
      </c>
      <c r="K57" s="51"/>
      <c r="L57" s="60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IFERROR(__xludf.DUMMYFUNCTION("""COMPUTED_VALUE"""),4.9)</f>
        <v>4.9</v>
      </c>
      <c r="F58" s="55">
        <f>IFERROR(__xludf.DUMMYFUNCTION("""COMPUTED_VALUE"""),2.0)</f>
        <v>2</v>
      </c>
      <c r="G58" s="56"/>
      <c r="H58" s="57">
        <f>IFERROR(__xludf.DUMMYFUNCTION("""COMPUTED_VALUE"""),6.9)</f>
        <v>6.9</v>
      </c>
      <c r="I58" s="68">
        <f>IFERROR(__xludf.DUMMYFUNCTION("""COMPUTED_VALUE"""),2.0)</f>
        <v>2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IFERROR(__xludf.DUMMYFUNCTION("""COMPUTED_VALUE"""),5.7)</f>
        <v>5.7</v>
      </c>
      <c r="F59" s="55">
        <f>IFERROR(__xludf.DUMMYFUNCTION("""COMPUTED_VALUE"""),2.0)</f>
        <v>2</v>
      </c>
      <c r="G59" s="56"/>
      <c r="H59" s="57">
        <f>IFERROR(__xludf.DUMMYFUNCTION("""COMPUTED_VALUE"""),7.7)</f>
        <v>7.7</v>
      </c>
      <c r="I59" s="68">
        <f>IFERROR(__xludf.DUMMYFUNCTION("""COMPUTED_VALUE"""),0.0)</f>
        <v>0</v>
      </c>
      <c r="J59" s="59">
        <f>IFERROR(__xludf.DUMMYFUNCTION("""COMPUTED_VALUE"""),8.0)</f>
        <v>8</v>
      </c>
      <c r="K59" s="51"/>
      <c r="L59" s="60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IFERROR(__xludf.DUMMYFUNCTION("""COMPUTED_VALUE"""),6.3)</f>
        <v>6.3</v>
      </c>
      <c r="F60" s="55">
        <f>IFERROR(__xludf.DUMMYFUNCTION("""COMPUTED_VALUE"""),2.0)</f>
        <v>2</v>
      </c>
      <c r="G60" s="56"/>
      <c r="H60" s="57">
        <f>IFERROR(__xludf.DUMMYFUNCTION("""COMPUTED_VALUE"""),8.3)</f>
        <v>8.3</v>
      </c>
      <c r="I60" s="68">
        <f>IFERROR(__xludf.DUMMYFUNCTION("""COMPUTED_VALUE"""),0.0)</f>
        <v>0</v>
      </c>
      <c r="J60" s="59">
        <f>IFERROR(__xludf.DUMMYFUNCTION("""COMPUTED_VALUE"""),8.0)</f>
        <v>8</v>
      </c>
      <c r="K60" s="51"/>
      <c r="L60" s="60">
        <f>IFERROR(__xludf.DUMMYFUNCTION("""COMPUTED_VALUE"""),8.0)</f>
        <v>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IFERROR(__xludf.DUMMYFUNCTION("""COMPUTED_VALUE"""),5.8)</f>
        <v>5.8</v>
      </c>
      <c r="F61" s="55">
        <f>IFERROR(__xludf.DUMMYFUNCTION("""COMPUTED_VALUE"""),2.0)</f>
        <v>2</v>
      </c>
      <c r="G61" s="56"/>
      <c r="H61" s="57">
        <f>IFERROR(__xludf.DUMMYFUNCTION("""COMPUTED_VALUE"""),7.8)</f>
        <v>7.8</v>
      </c>
      <c r="I61" s="68">
        <f>IFERROR(__xludf.DUMMYFUNCTION("""COMPUTED_VALUE"""),0.0)</f>
        <v>0</v>
      </c>
      <c r="J61" s="59">
        <f>IFERROR(__xludf.DUMMYFUNCTION("""COMPUTED_VALUE"""),8.0)</f>
        <v>8</v>
      </c>
      <c r="K61" s="51"/>
      <c r="L61" s="60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IFERROR(__xludf.DUMMYFUNCTION("""COMPUTED_VALUE"""),6.9)</f>
        <v>6.9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IFERROR(__xludf.DUMMYFUNCTION("""COMPUTED_VALUE"""),9.9)</f>
        <v>9.9</v>
      </c>
      <c r="I62" s="68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IFERROR(__xludf.DUMMYFUNCTION("""COMPUTED_VALUE"""),4.5)</f>
        <v>4.5</v>
      </c>
      <c r="F63" s="55">
        <f>IFERROR(__xludf.DUMMYFUNCTION("""COMPUTED_VALUE"""),2.0)</f>
        <v>2</v>
      </c>
      <c r="G63" s="56"/>
      <c r="H63" s="57">
        <f>IFERROR(__xludf.DUMMYFUNCTION("""COMPUTED_VALUE"""),6.5)</f>
        <v>6.5</v>
      </c>
      <c r="I63" s="68">
        <f>IFERROR(__xludf.DUMMYFUNCTION("""COMPUTED_VALUE"""),1.0)</f>
        <v>1</v>
      </c>
      <c r="J63" s="59">
        <f>IFERROR(__xludf.DUMMYFUNCTION("""COMPUTED_VALUE"""),7.0)</f>
        <v>7</v>
      </c>
      <c r="K63" s="51"/>
      <c r="L63" s="60">
        <f>IFERROR(__xludf.DUMMYFUNCTION("""COMPUTED_VALUE"""),7.0)</f>
        <v>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75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82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3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IFERROR(__xludf.DUMMYFUNCTION("""COMPUTED_VALUE"""),40.0)</f>
        <v>40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IFERROR(__xludf.DUMMYFUNCTION("""COMPUTED_VALUE"""),7.0)</f>
        <v>7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IFERROR(__xludf.DUMMYFUNCTION("""COMPUTED_VALUE"""),85.1063829787234)</f>
        <v>85.10638298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IFERROR(__xludf.DUMMYFUNCTION("""COMPUTED_VALUE"""),7.8936170212765955)</f>
        <v>7.893617021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IFERROR(__xludf.DUMMYFUNCTION("IMPORTRANGE(""https://docs.google.com/spreadsheets/d/1_AFCWkM3jCUHMVRwvoFkZ6syz5Zk2VPuCdzg3T7okfQ/edit?gid=986135274#gid=986135274"",""2-1 temas selectos de matematicas 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Jorge Flores Ceron")</f>
        <v>PROFESOR (A): Jorge Flores Ceron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I")</f>
        <v>TEMAS SELECTOS DE MATEMÁTICAS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IFERROR(__xludf.DUMMYFUNCTION("""COMPUTED_VALUE"""),4.8)</f>
        <v>4.8</v>
      </c>
      <c r="F17" s="55">
        <f>IFERROR(__xludf.DUMMYFUNCTION("""COMPUTED_VALUE"""),0.8)</f>
        <v>0.8</v>
      </c>
      <c r="G17" s="56">
        <f>IFERROR(__xludf.DUMMYFUNCTION("""COMPUTED_VALUE"""),0.0)</f>
        <v>0</v>
      </c>
      <c r="H17" s="57">
        <f>IFERROR(__xludf.DUMMYFUNCTION("""COMPUTED_VALUE"""),5.6)</f>
        <v>5.6</v>
      </c>
      <c r="I17" s="58">
        <f>IFERROR(__xludf.DUMMYFUNCTION("""COMPUTED_VALUE"""),1.0)</f>
        <v>1</v>
      </c>
      <c r="J17" s="59">
        <f>IFERROR(__xludf.DUMMYFUNCTION("""COMPUTED_VALUE"""),5.0)</f>
        <v>5</v>
      </c>
      <c r="K17" s="60"/>
      <c r="L17" s="61">
        <f>IFERROR(__xludf.DUMMYFUNCTION("""COMPUTED_VALUE"""),5.0)</f>
        <v>5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IFERROR(__xludf.DUMMYFUNCTION("""COMPUTED_VALUE"""),1.3)</f>
        <v>1.3</v>
      </c>
      <c r="F18" s="55">
        <f>IFERROR(__xludf.DUMMYFUNCTION("""COMPUTED_VALUE"""),0.9)</f>
        <v>0.9</v>
      </c>
      <c r="G18" s="56">
        <f>IFERROR(__xludf.DUMMYFUNCTION("""COMPUTED_VALUE"""),0.0)</f>
        <v>0</v>
      </c>
      <c r="H18" s="57">
        <f>IFERROR(__xludf.DUMMYFUNCTION("""COMPUTED_VALUE"""),2.2)</f>
        <v>2.2</v>
      </c>
      <c r="I18" s="58">
        <f>IFERROR(__xludf.DUMMYFUNCTION("""COMPUTED_VALUE"""),3.0)</f>
        <v>3</v>
      </c>
      <c r="J18" s="59">
        <f>IFERROR(__xludf.DUMMYFUNCTION("""COMPUTED_VALUE"""),5.0)</f>
        <v>5</v>
      </c>
      <c r="K18" s="51"/>
      <c r="L18" s="61">
        <f>IFERROR(__xludf.DUMMYFUNCTION("""COMPUTED_VALUE"""),2.0)</f>
        <v>2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IFERROR(__xludf.DUMMYFUNCTION("""COMPUTED_VALUE"""),4.7)</f>
        <v>4.7</v>
      </c>
      <c r="F19" s="55">
        <f>IFERROR(__xludf.DUMMYFUNCTION("""COMPUTED_VALUE"""),1.7)</f>
        <v>1.7</v>
      </c>
      <c r="G19" s="56">
        <f>IFERROR(__xludf.DUMMYFUNCTION("""COMPUTED_VALUE"""),0.0)</f>
        <v>0</v>
      </c>
      <c r="H19" s="57">
        <f>IFERROR(__xludf.DUMMYFUNCTION("""COMPUTED_VALUE"""),6.4)</f>
        <v>6.4</v>
      </c>
      <c r="I19" s="58">
        <f>IFERROR(__xludf.DUMMYFUNCTION("""COMPUTED_VALUE"""),0.0)</f>
        <v>0</v>
      </c>
      <c r="J19" s="59">
        <f>IFERROR(__xludf.DUMMYFUNCTION("""COMPUTED_VALUE"""),6.0)</f>
        <v>6</v>
      </c>
      <c r="K19" s="51"/>
      <c r="L19" s="61">
        <f>IFERROR(__xludf.DUMMYFUNCTION("""COMPUTED_VALUE"""),6.0)</f>
        <v>6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IFERROR(__xludf.DUMMYFUNCTION("""COMPUTED_VALUE"""),6.3)</f>
        <v>6.3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IFERROR(__xludf.DUMMYFUNCTION("""COMPUTED_VALUE"""),9.3)</f>
        <v>9.3</v>
      </c>
      <c r="I20" s="58">
        <f>IFERROR(__xludf.DUMMYFUNCTION("""COMPUTED_VALUE"""),0.0)</f>
        <v>0</v>
      </c>
      <c r="J20" s="59">
        <f>IFERROR(__xludf.DUMMYFUNCTION("""COMPUTED_VALUE"""),9.0)</f>
        <v>9</v>
      </c>
      <c r="K20" s="51"/>
      <c r="L20" s="61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IFERROR(__xludf.DUMMYFUNCTION("""COMPUTED_VALUE"""),4.2)</f>
        <v>4.2</v>
      </c>
      <c r="F21" s="55">
        <f>IFERROR(__xludf.DUMMYFUNCTION("""COMPUTED_VALUE"""),1.9)</f>
        <v>1.9</v>
      </c>
      <c r="G21" s="56">
        <f>IFERROR(__xludf.DUMMYFUNCTION("""COMPUTED_VALUE"""),1.0)</f>
        <v>1</v>
      </c>
      <c r="H21" s="57">
        <f>IFERROR(__xludf.DUMMYFUNCTION("""COMPUTED_VALUE"""),7.1)</f>
        <v>7.1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IFERROR(__xludf.DUMMYFUNCTION("""COMPUTED_VALUE"""),5.6)</f>
        <v>5.6</v>
      </c>
      <c r="F22" s="55">
        <f>IFERROR(__xludf.DUMMYFUNCTION("""COMPUTED_VALUE"""),1.9)</f>
        <v>1.9</v>
      </c>
      <c r="G22" s="56">
        <f>IFERROR(__xludf.DUMMYFUNCTION("""COMPUTED_VALUE"""),0.0)</f>
        <v>0</v>
      </c>
      <c r="H22" s="57">
        <f>IFERROR(__xludf.DUMMYFUNCTION("""COMPUTED_VALUE"""),7.5)</f>
        <v>7.5</v>
      </c>
      <c r="I22" s="58">
        <f>IFERROR(__xludf.DUMMYFUNCTION("""COMPUTED_VALUE"""),0.0)</f>
        <v>0</v>
      </c>
      <c r="J22" s="59">
        <f>IFERROR(__xludf.DUMMYFUNCTION("""COMPUTED_VALUE"""),8.0)</f>
        <v>8</v>
      </c>
      <c r="K22" s="51"/>
      <c r="L22" s="61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IFERROR(__xludf.DUMMYFUNCTION("""COMPUTED_VALUE"""),0.6)</f>
        <v>0.6</v>
      </c>
      <c r="F23" s="55">
        <f>IFERROR(__xludf.DUMMYFUNCTION("""COMPUTED_VALUE"""),0.0)</f>
        <v>0</v>
      </c>
      <c r="G23" s="56">
        <f>IFERROR(__xludf.DUMMYFUNCTION("""COMPUTED_VALUE"""),0.0)</f>
        <v>0</v>
      </c>
      <c r="H23" s="57">
        <f>IFERROR(__xludf.DUMMYFUNCTION("""COMPUTED_VALUE"""),0.6)</f>
        <v>0.6</v>
      </c>
      <c r="I23" s="58">
        <f>IFERROR(__xludf.DUMMYFUNCTION("""COMPUTED_VALUE"""),0.0)</f>
        <v>0</v>
      </c>
      <c r="J23" s="59">
        <f>IFERROR(__xludf.DUMMYFUNCTION("""COMPUTED_VALUE"""),5.0)</f>
        <v>5</v>
      </c>
      <c r="K23" s="51"/>
      <c r="L23" s="61">
        <f>IFERROR(__xludf.DUMMYFUNCTION("""COMPUTED_VALUE"""),0.0)</f>
        <v>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IFERROR(__xludf.DUMMYFUNCTION("""COMPUTED_VALUE"""),2.4)</f>
        <v>2.4</v>
      </c>
      <c r="F24" s="55">
        <f>IFERROR(__xludf.DUMMYFUNCTION("""COMPUTED_VALUE"""),1.8)</f>
        <v>1.8</v>
      </c>
      <c r="G24" s="56">
        <f>IFERROR(__xludf.DUMMYFUNCTION("""COMPUTED_VALUE"""),1.0)</f>
        <v>1</v>
      </c>
      <c r="H24" s="57">
        <f>IFERROR(__xludf.DUMMYFUNCTION("""COMPUTED_VALUE"""),5.2)</f>
        <v>5.2</v>
      </c>
      <c r="I24" s="58">
        <f>IFERROR(__xludf.DUMMYFUNCTION("""COMPUTED_VALUE"""),0.0)</f>
        <v>0</v>
      </c>
      <c r="J24" s="59">
        <f>IFERROR(__xludf.DUMMYFUNCTION("""COMPUTED_VALUE"""),5.0)</f>
        <v>5</v>
      </c>
      <c r="K24" s="51"/>
      <c r="L24" s="61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IFERROR(__xludf.DUMMYFUNCTION("""COMPUTED_VALUE"""),28.0)</f>
        <v>28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IFERROR(__xludf.DUMMYFUNCTION("""COMPUTED_VALUE"""),2.1)</f>
        <v>2.1</v>
      </c>
      <c r="F25" s="55">
        <f>IFERROR(__xludf.DUMMYFUNCTION("""COMPUTED_VALUE"""),1.9)</f>
        <v>1.9</v>
      </c>
      <c r="G25" s="56">
        <f>IFERROR(__xludf.DUMMYFUNCTION("""COMPUTED_VALUE"""),0.0)</f>
        <v>0</v>
      </c>
      <c r="H25" s="57">
        <f>IFERROR(__xludf.DUMMYFUNCTION("""COMPUTED_VALUE"""),4.0)</f>
        <v>4</v>
      </c>
      <c r="I25" s="58">
        <f>IFERROR(__xludf.DUMMYFUNCTION("""COMPUTED_VALUE"""),0.0)</f>
        <v>0</v>
      </c>
      <c r="J25" s="59">
        <f>IFERROR(__xludf.DUMMYFUNCTION("""COMPUTED_VALUE"""),5.0)</f>
        <v>5</v>
      </c>
      <c r="K25" s="51"/>
      <c r="L25" s="61">
        <f>IFERROR(__xludf.DUMMYFUNCTION("""COMPUTED_VALUE"""),4.0)</f>
        <v>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IFERROR(__xludf.DUMMYFUNCTION("""COMPUTED_VALUE"""),2.5)</f>
        <v>2.5</v>
      </c>
      <c r="F26" s="55">
        <f>IFERROR(__xludf.DUMMYFUNCTION("""COMPUTED_VALUE"""),0.8)</f>
        <v>0.8</v>
      </c>
      <c r="G26" s="56">
        <f>IFERROR(__xludf.DUMMYFUNCTION("""COMPUTED_VALUE"""),0.0)</f>
        <v>0</v>
      </c>
      <c r="H26" s="57">
        <f>IFERROR(__xludf.DUMMYFUNCTION("""COMPUTED_VALUE"""),3.3)</f>
        <v>3.3</v>
      </c>
      <c r="I26" s="58">
        <f>IFERROR(__xludf.DUMMYFUNCTION("""COMPUTED_VALUE"""),1.0)</f>
        <v>1</v>
      </c>
      <c r="J26" s="59">
        <f>IFERROR(__xludf.DUMMYFUNCTION("""COMPUTED_VALUE"""),5.0)</f>
        <v>5</v>
      </c>
      <c r="K26" s="51"/>
      <c r="L26" s="61">
        <f>IFERROR(__xludf.DUMMYFUNCTION("""COMPUTED_VALUE"""),3.0)</f>
        <v>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IFERROR(__xludf.DUMMYFUNCTION("""COMPUTED_VALUE"""),4.7)</f>
        <v>4.7</v>
      </c>
      <c r="F27" s="55">
        <f>IFERROR(__xludf.DUMMYFUNCTION("""COMPUTED_VALUE"""),1.9)</f>
        <v>1.9</v>
      </c>
      <c r="G27" s="56">
        <f>IFERROR(__xludf.DUMMYFUNCTION("""COMPUTED_VALUE"""),1.0)</f>
        <v>1</v>
      </c>
      <c r="H27" s="57">
        <f>IFERROR(__xludf.DUMMYFUNCTION("""COMPUTED_VALUE"""),7.6)</f>
        <v>7.6</v>
      </c>
      <c r="I27" s="58">
        <f>IFERROR(__xludf.DUMMYFUNCTION("""COMPUTED_VALUE"""),0.0)</f>
        <v>0</v>
      </c>
      <c r="J27" s="59">
        <f>IFERROR(__xludf.DUMMYFUNCTION("""COMPUTED_VALUE"""),8.0)</f>
        <v>8</v>
      </c>
      <c r="K27" s="51"/>
      <c r="L27" s="61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IFERROR(__xludf.DUMMYFUNCTION("""COMPUTED_VALUE"""),1.2)</f>
        <v>1.2</v>
      </c>
      <c r="F28" s="55">
        <f>IFERROR(__xludf.DUMMYFUNCTION("""COMPUTED_VALUE"""),1.8)</f>
        <v>1.8</v>
      </c>
      <c r="G28" s="56">
        <f>IFERROR(__xludf.DUMMYFUNCTION("""COMPUTED_VALUE"""),1.0)</f>
        <v>1</v>
      </c>
      <c r="H28" s="57">
        <f>IFERROR(__xludf.DUMMYFUNCTION("""COMPUTED_VALUE"""),4.0)</f>
        <v>4</v>
      </c>
      <c r="I28" s="58">
        <f>IFERROR(__xludf.DUMMYFUNCTION("""COMPUTED_VALUE"""),0.0)</f>
        <v>0</v>
      </c>
      <c r="J28" s="59">
        <f>IFERROR(__xludf.DUMMYFUNCTION("""COMPUTED_VALUE"""),5.0)</f>
        <v>5</v>
      </c>
      <c r="K28" s="51"/>
      <c r="L28" s="61">
        <f>IFERROR(__xludf.DUMMYFUNCTION("""COMPUTED_VALUE"""),4.0)</f>
        <v>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IFERROR(__xludf.DUMMYFUNCTION("""COMPUTED_VALUE"""),1.5)</f>
        <v>1.5</v>
      </c>
      <c r="F29" s="55">
        <f>IFERROR(__xludf.DUMMYFUNCTION("""COMPUTED_VALUE"""),1.8)</f>
        <v>1.8</v>
      </c>
      <c r="G29" s="56">
        <f>IFERROR(__xludf.DUMMYFUNCTION("""COMPUTED_VALUE"""),0.0)</f>
        <v>0</v>
      </c>
      <c r="H29" s="57">
        <f>IFERROR(__xludf.DUMMYFUNCTION("""COMPUTED_VALUE"""),3.3)</f>
        <v>3.3</v>
      </c>
      <c r="I29" s="58">
        <f>IFERROR(__xludf.DUMMYFUNCTION("""COMPUTED_VALUE"""),1.0)</f>
        <v>1</v>
      </c>
      <c r="J29" s="59">
        <f>IFERROR(__xludf.DUMMYFUNCTION("""COMPUTED_VALUE"""),5.0)</f>
        <v>5</v>
      </c>
      <c r="K29" s="51"/>
      <c r="L29" s="61">
        <f>IFERROR(__xludf.DUMMYFUNCTION("""COMPUTED_VALUE"""),3.0)</f>
        <v>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IFERROR(__xludf.DUMMYFUNCTION("""COMPUTED_VALUE"""),0.8)</f>
        <v>0.8</v>
      </c>
      <c r="F30" s="55">
        <f>IFERROR(__xludf.DUMMYFUNCTION("""COMPUTED_VALUE"""),0.0)</f>
        <v>0</v>
      </c>
      <c r="G30" s="56">
        <f>IFERROR(__xludf.DUMMYFUNCTION("""COMPUTED_VALUE"""),0.0)</f>
        <v>0</v>
      </c>
      <c r="H30" s="57">
        <f>IFERROR(__xludf.DUMMYFUNCTION("""COMPUTED_VALUE"""),0.8)</f>
        <v>0.8</v>
      </c>
      <c r="I30" s="58">
        <f>IFERROR(__xludf.DUMMYFUNCTION("""COMPUTED_VALUE"""),4.0)</f>
        <v>4</v>
      </c>
      <c r="J30" s="59">
        <f>IFERROR(__xludf.DUMMYFUNCTION("""COMPUTED_VALUE"""),5.0)</f>
        <v>5</v>
      </c>
      <c r="K30" s="51"/>
      <c r="L30" s="61">
        <f>IFERROR(__xludf.DUMMYFUNCTION("""COMPUTED_VALUE"""),0.0)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IFERROR(__xludf.DUMMYFUNCTION("""COMPUTED_VALUE"""),7.8)</f>
        <v>7.8</v>
      </c>
      <c r="F31" s="55">
        <f>IFERROR(__xludf.DUMMYFUNCTION("""COMPUTED_VALUE"""),2.0)</f>
        <v>2</v>
      </c>
      <c r="G31" s="56">
        <f>IFERROR(__xludf.DUMMYFUNCTION("""COMPUTED_VALUE"""),2.0)</f>
        <v>2</v>
      </c>
      <c r="H31" s="57">
        <f>IFERROR(__xludf.DUMMYFUNCTION("""COMPUTED_VALUE"""),11.8)</f>
        <v>11.8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IFERROR(__xludf.DUMMYFUNCTION("""COMPUTED_VALUE"""),12.0)</f>
        <v>12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IFERROR(__xludf.DUMMYFUNCTION("""COMPUTED_VALUE"""),2.2)</f>
        <v>2.2</v>
      </c>
      <c r="F32" s="55">
        <f>IFERROR(__xludf.DUMMYFUNCTION("""COMPUTED_VALUE"""),0.7)</f>
        <v>0.7</v>
      </c>
      <c r="G32" s="56">
        <f>IFERROR(__xludf.DUMMYFUNCTION("""COMPUTED_VALUE"""),0.0)</f>
        <v>0</v>
      </c>
      <c r="H32" s="57">
        <f>IFERROR(__xludf.DUMMYFUNCTION("""COMPUTED_VALUE"""),2.9000000000000004)</f>
        <v>2.9</v>
      </c>
      <c r="I32" s="58">
        <f>IFERROR(__xludf.DUMMYFUNCTION("""COMPUTED_VALUE"""),1.0)</f>
        <v>1</v>
      </c>
      <c r="J32" s="59">
        <f>IFERROR(__xludf.DUMMYFUNCTION("""COMPUTED_VALUE"""),5.0)</f>
        <v>5</v>
      </c>
      <c r="K32" s="51"/>
      <c r="L32" s="61">
        <f>IFERROR(__xludf.DUMMYFUNCTION("""COMPUTED_VALUE"""),2.0)</f>
        <v>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IFERROR(__xludf.DUMMYFUNCTION("""COMPUTED_VALUE"""),6.4)</f>
        <v>6.4</v>
      </c>
      <c r="F33" s="55">
        <f>IFERROR(__xludf.DUMMYFUNCTION("""COMPUTED_VALUE"""),2.0)</f>
        <v>2</v>
      </c>
      <c r="G33" s="56">
        <f>IFERROR(__xludf.DUMMYFUNCTION("""COMPUTED_VALUE"""),2.0)</f>
        <v>2</v>
      </c>
      <c r="H33" s="57">
        <f>IFERROR(__xludf.DUMMYFUNCTION("""COMPUTED_VALUE"""),10.4)</f>
        <v>10.4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IFERROR(__xludf.DUMMYFUNCTION("""COMPUTED_VALUE"""),0.6)</f>
        <v>0.6</v>
      </c>
      <c r="F34" s="55">
        <f>IFERROR(__xludf.DUMMYFUNCTION("""COMPUTED_VALUE"""),1.7)</f>
        <v>1.7</v>
      </c>
      <c r="G34" s="56">
        <f>IFERROR(__xludf.DUMMYFUNCTION("""COMPUTED_VALUE"""),0.0)</f>
        <v>0</v>
      </c>
      <c r="H34" s="57">
        <f>IFERROR(__xludf.DUMMYFUNCTION("""COMPUTED_VALUE"""),2.3)</f>
        <v>2.3</v>
      </c>
      <c r="I34" s="58">
        <f>IFERROR(__xludf.DUMMYFUNCTION("""COMPUTED_VALUE"""),1.0)</f>
        <v>1</v>
      </c>
      <c r="J34" s="59">
        <f>IFERROR(__xludf.DUMMYFUNCTION("""COMPUTED_VALUE"""),5.0)</f>
        <v>5</v>
      </c>
      <c r="K34" s="51"/>
      <c r="L34" s="61">
        <f>IFERROR(__xludf.DUMMYFUNCTION("""COMPUTED_VALUE"""),2.0)</f>
        <v>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IFERROR(__xludf.DUMMYFUNCTION("""COMPUTED_VALUE"""),3.0)</f>
        <v>3</v>
      </c>
      <c r="F35" s="55">
        <f>IFERROR(__xludf.DUMMYFUNCTION("""COMPUTED_VALUE"""),2.0)</f>
        <v>2</v>
      </c>
      <c r="G35" s="56">
        <f>IFERROR(__xludf.DUMMYFUNCTION("""COMPUTED_VALUE"""),0.0)</f>
        <v>0</v>
      </c>
      <c r="H35" s="57">
        <f>IFERROR(__xludf.DUMMYFUNCTION("""COMPUTED_VALUE"""),5.0)</f>
        <v>5</v>
      </c>
      <c r="I35" s="58">
        <f>IFERROR(__xludf.DUMMYFUNCTION("""COMPUTED_VALUE"""),0.0)</f>
        <v>0</v>
      </c>
      <c r="J35" s="59">
        <f>IFERROR(__xludf.DUMMYFUNCTION("""COMPUTED_VALUE"""),5.0)</f>
        <v>5</v>
      </c>
      <c r="K35" s="51"/>
      <c r="L35" s="61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IFERROR(__xludf.DUMMYFUNCTION("""COMPUTED_VALUE"""),4.4)</f>
        <v>4.4</v>
      </c>
      <c r="F36" s="55">
        <f>IFERROR(__xludf.DUMMYFUNCTION("""COMPUTED_VALUE"""),2.0)</f>
        <v>2</v>
      </c>
      <c r="G36" s="56">
        <f>IFERROR(__xludf.DUMMYFUNCTION("""COMPUTED_VALUE"""),2.0)</f>
        <v>2</v>
      </c>
      <c r="H36" s="57">
        <f>IFERROR(__xludf.DUMMYFUNCTION("""COMPUTED_VALUE"""),8.4)</f>
        <v>8.4</v>
      </c>
      <c r="I36" s="58">
        <f>IFERROR(__xludf.DUMMYFUNCTION("""COMPUTED_VALUE"""),0.0)</f>
        <v>0</v>
      </c>
      <c r="J36" s="59">
        <f>IFERROR(__xludf.DUMMYFUNCTION("""COMPUTED_VALUE"""),8.0)</f>
        <v>8</v>
      </c>
      <c r="K36" s="51"/>
      <c r="L36" s="61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IFERROR(__xludf.DUMMYFUNCTION("""COMPUTED_VALUE"""),4.7)</f>
        <v>4.7</v>
      </c>
      <c r="F37" s="55">
        <f>IFERROR(__xludf.DUMMYFUNCTION("""COMPUTED_VALUE"""),1.7)</f>
        <v>1.7</v>
      </c>
      <c r="G37" s="56">
        <f>IFERROR(__xludf.DUMMYFUNCTION("""COMPUTED_VALUE"""),1.0)</f>
        <v>1</v>
      </c>
      <c r="H37" s="57">
        <f>IFERROR(__xludf.DUMMYFUNCTION("""COMPUTED_VALUE"""),7.4)</f>
        <v>7.4</v>
      </c>
      <c r="I37" s="58">
        <f>IFERROR(__xludf.DUMMYFUNCTION("""COMPUTED_VALUE"""),1.0)</f>
        <v>1</v>
      </c>
      <c r="J37" s="59">
        <f>IFERROR(__xludf.DUMMYFUNCTION("""COMPUTED_VALUE"""),7.0)</f>
        <v>7</v>
      </c>
      <c r="K37" s="51"/>
      <c r="L37" s="61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IFERROR(__xludf.DUMMYFUNCTION("""COMPUTED_VALUE"""),5.2)</f>
        <v>5.2</v>
      </c>
      <c r="F38" s="55">
        <f>IFERROR(__xludf.DUMMYFUNCTION("""COMPUTED_VALUE"""),1.8)</f>
        <v>1.8</v>
      </c>
      <c r="G38" s="56">
        <f>IFERROR(__xludf.DUMMYFUNCTION("""COMPUTED_VALUE"""),2.0)</f>
        <v>2</v>
      </c>
      <c r="H38" s="57">
        <f>IFERROR(__xludf.DUMMYFUNCTION("""COMPUTED_VALUE"""),9.0)</f>
        <v>9</v>
      </c>
      <c r="I38" s="58">
        <f>IFERROR(__xludf.DUMMYFUNCTION("""COMPUTED_VALUE"""),1.0)</f>
        <v>1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IFERROR(__xludf.DUMMYFUNCTION("""COMPUTED_VALUE"""),3.5)</f>
        <v>3.5</v>
      </c>
      <c r="F39" s="55">
        <f>IFERROR(__xludf.DUMMYFUNCTION("""COMPUTED_VALUE"""),2.0)</f>
        <v>2</v>
      </c>
      <c r="G39" s="56">
        <f>IFERROR(__xludf.DUMMYFUNCTION("""COMPUTED_VALUE"""),1.0)</f>
        <v>1</v>
      </c>
      <c r="H39" s="57">
        <f>IFERROR(__xludf.DUMMYFUNCTION("""COMPUTED_VALUE"""),6.5)</f>
        <v>6.5</v>
      </c>
      <c r="I39" s="58">
        <f>IFERROR(__xludf.DUMMYFUNCTION("""COMPUTED_VALUE"""),0.0)</f>
        <v>0</v>
      </c>
      <c r="J39" s="59">
        <f>IFERROR(__xludf.DUMMYFUNCTION("""COMPUTED_VALUE"""),7.0)</f>
        <v>7</v>
      </c>
      <c r="K39" s="51"/>
      <c r="L39" s="61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IFERROR(__xludf.DUMMYFUNCTION("""COMPUTED_VALUE"""),0.5)</f>
        <v>0.5</v>
      </c>
      <c r="F40" s="55">
        <f>IFERROR(__xludf.DUMMYFUNCTION("""COMPUTED_VALUE"""),0.6)</f>
        <v>0.6</v>
      </c>
      <c r="G40" s="56">
        <f>IFERROR(__xludf.DUMMYFUNCTION("""COMPUTED_VALUE"""),0.0)</f>
        <v>0</v>
      </c>
      <c r="H40" s="57">
        <f>IFERROR(__xludf.DUMMYFUNCTION("""COMPUTED_VALUE"""),1.1)</f>
        <v>1.1</v>
      </c>
      <c r="I40" s="58">
        <f>IFERROR(__xludf.DUMMYFUNCTION("""COMPUTED_VALUE"""),0.0)</f>
        <v>0</v>
      </c>
      <c r="J40" s="59">
        <f>IFERROR(__xludf.DUMMYFUNCTION("""COMPUTED_VALUE"""),5.0)</f>
        <v>5</v>
      </c>
      <c r="K40" s="51"/>
      <c r="L40" s="61">
        <f>IFERROR(__xludf.DUMMYFUNCTION("""COMPUTED_VALUE"""),1.0)</f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IFERROR(__xludf.DUMMYFUNCTION("""COMPUTED_VALUE"""),4.2)</f>
        <v>4.2</v>
      </c>
      <c r="F41" s="55">
        <f>IFERROR(__xludf.DUMMYFUNCTION("""COMPUTED_VALUE"""),1.8)</f>
        <v>1.8</v>
      </c>
      <c r="G41" s="56">
        <f>IFERROR(__xludf.DUMMYFUNCTION("""COMPUTED_VALUE"""),0.0)</f>
        <v>0</v>
      </c>
      <c r="H41" s="57">
        <f>IFERROR(__xludf.DUMMYFUNCTION("""COMPUTED_VALUE"""),6.0)</f>
        <v>6</v>
      </c>
      <c r="I41" s="58">
        <f>IFERROR(__xludf.DUMMYFUNCTION("""COMPUTED_VALUE"""),0.0)</f>
        <v>0</v>
      </c>
      <c r="J41" s="59">
        <f>IFERROR(__xludf.DUMMYFUNCTION("""COMPUTED_VALUE"""),6.0)</f>
        <v>6</v>
      </c>
      <c r="K41" s="51"/>
      <c r="L41" s="61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IFERROR(__xludf.DUMMYFUNCTION("""COMPUTED_VALUE"""),1.7)</f>
        <v>1.7</v>
      </c>
      <c r="F42" s="55">
        <f>IFERROR(__xludf.DUMMYFUNCTION("""COMPUTED_VALUE"""),1.9)</f>
        <v>1.9</v>
      </c>
      <c r="G42" s="56">
        <f>IFERROR(__xludf.DUMMYFUNCTION("""COMPUTED_VALUE"""),0.0)</f>
        <v>0</v>
      </c>
      <c r="H42" s="57">
        <f>IFERROR(__xludf.DUMMYFUNCTION("""COMPUTED_VALUE"""),3.5999999999999996)</f>
        <v>3.6</v>
      </c>
      <c r="I42" s="58">
        <f>IFERROR(__xludf.DUMMYFUNCTION("""COMPUTED_VALUE"""),0.0)</f>
        <v>0</v>
      </c>
      <c r="J42" s="59">
        <f>IFERROR(__xludf.DUMMYFUNCTION("""COMPUTED_VALUE"""),5.0)</f>
        <v>5</v>
      </c>
      <c r="K42" s="51"/>
      <c r="L42" s="61">
        <f>IFERROR(__xludf.DUMMYFUNCTION("""COMPUTED_VALUE"""),3.0)</f>
        <v>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IFERROR(__xludf.DUMMYFUNCTION("""COMPUTED_VALUE"""),2.9)</f>
        <v>2.9</v>
      </c>
      <c r="F43" s="55">
        <f>IFERROR(__xludf.DUMMYFUNCTION("""COMPUTED_VALUE"""),2.0)</f>
        <v>2</v>
      </c>
      <c r="G43" s="56">
        <f>IFERROR(__xludf.DUMMYFUNCTION("""COMPUTED_VALUE"""),0.0)</f>
        <v>0</v>
      </c>
      <c r="H43" s="57">
        <f>IFERROR(__xludf.DUMMYFUNCTION("""COMPUTED_VALUE"""),4.9)</f>
        <v>4.9</v>
      </c>
      <c r="I43" s="58">
        <f>IFERROR(__xludf.DUMMYFUNCTION("""COMPUTED_VALUE"""),0.0)</f>
        <v>0</v>
      </c>
      <c r="J43" s="59">
        <f>IFERROR(__xludf.DUMMYFUNCTION("""COMPUTED_VALUE"""),5.0)</f>
        <v>5</v>
      </c>
      <c r="K43" s="51"/>
      <c r="L43" s="61">
        <f>IFERROR(__xludf.DUMMYFUNCTION("""COMPUTED_VALUE"""),4.0)</f>
        <v>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IFERROR(__xludf.DUMMYFUNCTION("""COMPUTED_VALUE"""),4.6)</f>
        <v>4.6</v>
      </c>
      <c r="F44" s="55">
        <f>IFERROR(__xludf.DUMMYFUNCTION("""COMPUTED_VALUE"""),1.8)</f>
        <v>1.8</v>
      </c>
      <c r="G44" s="56">
        <f>IFERROR(__xludf.DUMMYFUNCTION("""COMPUTED_VALUE"""),1.0)</f>
        <v>1</v>
      </c>
      <c r="H44" s="57">
        <f>IFERROR(__xludf.DUMMYFUNCTION("""COMPUTED_VALUE"""),7.3999999999999995)</f>
        <v>7.4</v>
      </c>
      <c r="I44" s="58">
        <f>IFERROR(__xludf.DUMMYFUNCTION("""COMPUTED_VALUE"""),0.0)</f>
        <v>0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IFERROR(__xludf.DUMMYFUNCTION("""COMPUTED_VALUE"""),2.8)</f>
        <v>2.8</v>
      </c>
      <c r="F45" s="55">
        <f>IFERROR(__xludf.DUMMYFUNCTION("""COMPUTED_VALUE"""),1.7)</f>
        <v>1.7</v>
      </c>
      <c r="G45" s="56">
        <f>IFERROR(__xludf.DUMMYFUNCTION("""COMPUTED_VALUE"""),1.5)</f>
        <v>1.5</v>
      </c>
      <c r="H45" s="57">
        <f>IFERROR(__xludf.DUMMYFUNCTION("""COMPUTED_VALUE"""),6.0)</f>
        <v>6</v>
      </c>
      <c r="I45" s="58">
        <f>IFERROR(__xludf.DUMMYFUNCTION("""COMPUTED_VALUE"""),1.0)</f>
        <v>1</v>
      </c>
      <c r="J45" s="59">
        <f>IFERROR(__xludf.DUMMYFUNCTION("""COMPUTED_VALUE"""),6.0)</f>
        <v>6</v>
      </c>
      <c r="K45" s="51"/>
      <c r="L45" s="61">
        <f>IFERROR(__xludf.DUMMYFUNCTION("""COMPUTED_VALUE"""),6.0)</f>
        <v>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IFERROR(__xludf.DUMMYFUNCTION("""COMPUTED_VALUE"""),2.5)</f>
        <v>2.5</v>
      </c>
      <c r="F46" s="55">
        <f>IFERROR(__xludf.DUMMYFUNCTION("""COMPUTED_VALUE"""),0.0)</f>
        <v>0</v>
      </c>
      <c r="G46" s="56">
        <f>IFERROR(__xludf.DUMMYFUNCTION("""COMPUTED_VALUE"""),0.0)</f>
        <v>0</v>
      </c>
      <c r="H46" s="57">
        <f>IFERROR(__xludf.DUMMYFUNCTION("""COMPUTED_VALUE"""),2.5)</f>
        <v>2.5</v>
      </c>
      <c r="I46" s="58">
        <f>IFERROR(__xludf.DUMMYFUNCTION("""COMPUTED_VALUE"""),0.0)</f>
        <v>0</v>
      </c>
      <c r="J46" s="59">
        <f>IFERROR(__xludf.DUMMYFUNCTION("""COMPUTED_VALUE"""),5.0)</f>
        <v>5</v>
      </c>
      <c r="K46" s="51"/>
      <c r="L46" s="61">
        <f>IFERROR(__xludf.DUMMYFUNCTION("""COMPUTED_VALUE"""),2.0)</f>
        <v>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IFERROR(__xludf.DUMMYFUNCTION("""COMPUTED_VALUE"""),7.0)</f>
        <v>7</v>
      </c>
      <c r="F47" s="55">
        <f>IFERROR(__xludf.DUMMYFUNCTION("""COMPUTED_VALUE"""),2.0)</f>
        <v>2</v>
      </c>
      <c r="G47" s="56">
        <f>IFERROR(__xludf.DUMMYFUNCTION("""COMPUTED_VALUE"""),2.0)</f>
        <v>2</v>
      </c>
      <c r="H47" s="57">
        <f>IFERROR(__xludf.DUMMYFUNCTION("""COMPUTED_VALUE"""),11.0)</f>
        <v>11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IFERROR(__xludf.DUMMYFUNCTION("""COMPUTED_VALUE"""),11.0)</f>
        <v>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IFERROR(__xludf.DUMMYFUNCTION("""COMPUTED_VALUE"""),5.9)</f>
        <v>5.9</v>
      </c>
      <c r="F48" s="55">
        <f>IFERROR(__xludf.DUMMYFUNCTION("""COMPUTED_VALUE"""),1.9)</f>
        <v>1.9</v>
      </c>
      <c r="G48" s="56">
        <f>IFERROR(__xludf.DUMMYFUNCTION("""COMPUTED_VALUE"""),2.0)</f>
        <v>2</v>
      </c>
      <c r="H48" s="57">
        <f>IFERROR(__xludf.DUMMYFUNCTION("""COMPUTED_VALUE"""),9.8)</f>
        <v>9.8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IFERROR(__xludf.DUMMYFUNCTION("""COMPUTED_VALUE"""),1.0)</f>
        <v>1</v>
      </c>
      <c r="F49" s="55">
        <f>IFERROR(__xludf.DUMMYFUNCTION("""COMPUTED_VALUE"""),0.8)</f>
        <v>0.8</v>
      </c>
      <c r="G49" s="56">
        <f>IFERROR(__xludf.DUMMYFUNCTION("""COMPUTED_VALUE"""),0.0)</f>
        <v>0</v>
      </c>
      <c r="H49" s="57">
        <f>IFERROR(__xludf.DUMMYFUNCTION("""COMPUTED_VALUE"""),1.8)</f>
        <v>1.8</v>
      </c>
      <c r="I49" s="58">
        <f>IFERROR(__xludf.DUMMYFUNCTION("""COMPUTED_VALUE"""),1.0)</f>
        <v>1</v>
      </c>
      <c r="J49" s="59">
        <f>IFERROR(__xludf.DUMMYFUNCTION("""COMPUTED_VALUE"""),5.0)</f>
        <v>5</v>
      </c>
      <c r="K49" s="51"/>
      <c r="L49" s="61">
        <f>IFERROR(__xludf.DUMMYFUNCTION("""COMPUTED_VALUE"""),1.0)</f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IFERROR(__xludf.DUMMYFUNCTION("""COMPUTED_VALUE"""),4.6)</f>
        <v>4.6</v>
      </c>
      <c r="F50" s="55">
        <f>IFERROR(__xludf.DUMMYFUNCTION("""COMPUTED_VALUE"""),2.0)</f>
        <v>2</v>
      </c>
      <c r="G50" s="56">
        <f>IFERROR(__xludf.DUMMYFUNCTION("""COMPUTED_VALUE"""),1.0)</f>
        <v>1</v>
      </c>
      <c r="H50" s="57">
        <f>IFERROR(__xludf.DUMMYFUNCTION("""COMPUTED_VALUE"""),7.6)</f>
        <v>7.6</v>
      </c>
      <c r="I50" s="58">
        <f>IFERROR(__xludf.DUMMYFUNCTION("""COMPUTED_VALUE"""),0.0)</f>
        <v>0</v>
      </c>
      <c r="J50" s="59">
        <f>IFERROR(__xludf.DUMMYFUNCTION("""COMPUTED_VALUE"""),8.0)</f>
        <v>8</v>
      </c>
      <c r="K50" s="51"/>
      <c r="L50" s="61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IFERROR(__xludf.DUMMYFUNCTION("""COMPUTED_VALUE"""),4.2)</f>
        <v>4.2</v>
      </c>
      <c r="F51" s="55">
        <f>IFERROR(__xludf.DUMMYFUNCTION("""COMPUTED_VALUE"""),0.9)</f>
        <v>0.9</v>
      </c>
      <c r="G51" s="56">
        <f>IFERROR(__xludf.DUMMYFUNCTION("""COMPUTED_VALUE"""),0.0)</f>
        <v>0</v>
      </c>
      <c r="H51" s="57">
        <f>IFERROR(__xludf.DUMMYFUNCTION("""COMPUTED_VALUE"""),5.1000000000000005)</f>
        <v>5.1</v>
      </c>
      <c r="I51" s="58">
        <f>IFERROR(__xludf.DUMMYFUNCTION("""COMPUTED_VALUE"""),1.0)</f>
        <v>1</v>
      </c>
      <c r="J51" s="59">
        <f>IFERROR(__xludf.DUMMYFUNCTION("""COMPUTED_VALUE"""),5.0)</f>
        <v>5</v>
      </c>
      <c r="K51" s="51"/>
      <c r="L51" s="60">
        <f>IFERROR(__xludf.DUMMYFUNCTION("""COMPUTED_VALUE"""),5.0)</f>
        <v>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IFERROR(__xludf.DUMMYFUNCTION("""COMPUTED_VALUE"""),3.4)</f>
        <v>3.4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IFERROR(__xludf.DUMMYFUNCTION("""COMPUTED_VALUE"""),5.4)</f>
        <v>5.4</v>
      </c>
      <c r="I52" s="58">
        <f>IFERROR(__xludf.DUMMYFUNCTION("""COMPUTED_VALUE"""),0.0)</f>
        <v>0</v>
      </c>
      <c r="J52" s="59">
        <f>IFERROR(__xludf.DUMMYFUNCTION("""COMPUTED_VALUE"""),5.0)</f>
        <v>5</v>
      </c>
      <c r="K52" s="51"/>
      <c r="L52" s="60">
        <f>IFERROR(__xludf.DUMMYFUNCTION("""COMPUTED_VALUE"""),5.0)</f>
        <v>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IFERROR(__xludf.DUMMYFUNCTION("""COMPUTED_VALUE"""),2.3)</f>
        <v>2.3</v>
      </c>
      <c r="F53" s="55">
        <f>IFERROR(__xludf.DUMMYFUNCTION("""COMPUTED_VALUE"""),1.9)</f>
        <v>1.9</v>
      </c>
      <c r="G53" s="56">
        <f>IFERROR(__xludf.DUMMYFUNCTION("""COMPUTED_VALUE"""),0.0)</f>
        <v>0</v>
      </c>
      <c r="H53" s="57">
        <f>IFERROR(__xludf.DUMMYFUNCTION("""COMPUTED_VALUE"""),4.199999999999999)</f>
        <v>4.2</v>
      </c>
      <c r="I53" s="58">
        <f>IFERROR(__xludf.DUMMYFUNCTION("""COMPUTED_VALUE"""),1.0)</f>
        <v>1</v>
      </c>
      <c r="J53" s="59">
        <f>IFERROR(__xludf.DUMMYFUNCTION("""COMPUTED_VALUE"""),5.0)</f>
        <v>5</v>
      </c>
      <c r="K53" s="51"/>
      <c r="L53" s="60">
        <f>IFERROR(__xludf.DUMMYFUNCTION("""COMPUTED_VALUE"""),4.0)</f>
        <v>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IFERROR(__xludf.DUMMYFUNCTION("""COMPUTED_VALUE"""),3.1)</f>
        <v>3.1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IFERROR(__xludf.DUMMYFUNCTION("""COMPUTED_VALUE"""),5.1)</f>
        <v>5.1</v>
      </c>
      <c r="I54" s="68">
        <f>IFERROR(__xludf.DUMMYFUNCTION("""COMPUTED_VALUE"""),1.0)</f>
        <v>1</v>
      </c>
      <c r="J54" s="59">
        <f>IFERROR(__xludf.DUMMYFUNCTION("""COMPUTED_VALUE"""),5.0)</f>
        <v>5</v>
      </c>
      <c r="K54" s="51"/>
      <c r="L54" s="60">
        <f>IFERROR(__xludf.DUMMYFUNCTION("""COMPUTED_VALUE"""),5.0)</f>
        <v>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IFERROR(__xludf.DUMMYFUNCTION("""COMPUTED_VALUE"""),2.7)</f>
        <v>2.7</v>
      </c>
      <c r="F55" s="55">
        <f>IFERROR(__xludf.DUMMYFUNCTION("""COMPUTED_VALUE"""),0.7)</f>
        <v>0.7</v>
      </c>
      <c r="G55" s="56">
        <f>IFERROR(__xludf.DUMMYFUNCTION("""COMPUTED_VALUE"""),0.0)</f>
        <v>0</v>
      </c>
      <c r="H55" s="57">
        <f>IFERROR(__xludf.DUMMYFUNCTION("""COMPUTED_VALUE"""),3.4000000000000004)</f>
        <v>3.4</v>
      </c>
      <c r="I55" s="68">
        <f>IFERROR(__xludf.DUMMYFUNCTION("""COMPUTED_VALUE"""),1.0)</f>
        <v>1</v>
      </c>
      <c r="J55" s="59">
        <f>IFERROR(__xludf.DUMMYFUNCTION("""COMPUTED_VALUE"""),5.0)</f>
        <v>5</v>
      </c>
      <c r="K55" s="51"/>
      <c r="L55" s="60">
        <f>IFERROR(__xludf.DUMMYFUNCTION("""COMPUTED_VALUE"""),3.0)</f>
        <v>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IFERROR(__xludf.DUMMYFUNCTION("""COMPUTED_VALUE"""),7.8)</f>
        <v>7.8</v>
      </c>
      <c r="F56" s="55">
        <f>IFERROR(__xludf.DUMMYFUNCTION("""COMPUTED_VALUE"""),1.9)</f>
        <v>1.9</v>
      </c>
      <c r="G56" s="56">
        <f>IFERROR(__xludf.DUMMYFUNCTION("""COMPUTED_VALUE"""),1.0)</f>
        <v>1</v>
      </c>
      <c r="H56" s="57">
        <f>IFERROR(__xludf.DUMMYFUNCTION("""COMPUTED_VALUE"""),10.7)</f>
        <v>10.7</v>
      </c>
      <c r="I56" s="68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IFERROR(__xludf.DUMMYFUNCTION("""COMPUTED_VALUE"""),4.3)</f>
        <v>4.3</v>
      </c>
      <c r="F57" s="55">
        <f>IFERROR(__xludf.DUMMYFUNCTION("""COMPUTED_VALUE"""),2.0)</f>
        <v>2</v>
      </c>
      <c r="G57" s="56">
        <f>IFERROR(__xludf.DUMMYFUNCTION("""COMPUTED_VALUE"""),1.0)</f>
        <v>1</v>
      </c>
      <c r="H57" s="57">
        <f>IFERROR(__xludf.DUMMYFUNCTION("""COMPUTED_VALUE"""),7.3)</f>
        <v>7.3</v>
      </c>
      <c r="I57" s="68">
        <f>IFERROR(__xludf.DUMMYFUNCTION("""COMPUTED_VALUE"""),0.0)</f>
        <v>0</v>
      </c>
      <c r="J57" s="59">
        <f>IFERROR(__xludf.DUMMYFUNCTION("""COMPUTED_VALUE"""),7.0)</f>
        <v>7</v>
      </c>
      <c r="K57" s="51"/>
      <c r="L57" s="60">
        <f>IFERROR(__xludf.DUMMYFUNCTION("""COMPUTED_VALUE"""),7.0)</f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IFERROR(__xludf.DUMMYFUNCTION("""COMPUTED_VALUE"""),4.5)</f>
        <v>4.5</v>
      </c>
      <c r="F58" s="55">
        <f>IFERROR(__xludf.DUMMYFUNCTION("""COMPUTED_VALUE"""),1.9)</f>
        <v>1.9</v>
      </c>
      <c r="G58" s="56">
        <f>IFERROR(__xludf.DUMMYFUNCTION("""COMPUTED_VALUE"""),0.0)</f>
        <v>0</v>
      </c>
      <c r="H58" s="57">
        <f>IFERROR(__xludf.DUMMYFUNCTION("""COMPUTED_VALUE"""),6.4)</f>
        <v>6.4</v>
      </c>
      <c r="I58" s="68">
        <f>IFERROR(__xludf.DUMMYFUNCTION("""COMPUTED_VALUE"""),1.0)</f>
        <v>1</v>
      </c>
      <c r="J58" s="59">
        <f>IFERROR(__xludf.DUMMYFUNCTION("""COMPUTED_VALUE"""),6.0)</f>
        <v>6</v>
      </c>
      <c r="K58" s="51"/>
      <c r="L58" s="60">
        <f>IFERROR(__xludf.DUMMYFUNCTION("""COMPUTED_VALUE"""),6.0)</f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IFERROR(__xludf.DUMMYFUNCTION("""COMPUTED_VALUE"""),3.3)</f>
        <v>3.3</v>
      </c>
      <c r="F59" s="55">
        <f>IFERROR(__xludf.DUMMYFUNCTION("""COMPUTED_VALUE"""),1.9)</f>
        <v>1.9</v>
      </c>
      <c r="G59" s="56">
        <f>IFERROR(__xludf.DUMMYFUNCTION("""COMPUTED_VALUE"""),0.0)</f>
        <v>0</v>
      </c>
      <c r="H59" s="57">
        <f>IFERROR(__xludf.DUMMYFUNCTION("""COMPUTED_VALUE"""),5.199999999999999)</f>
        <v>5.2</v>
      </c>
      <c r="I59" s="68">
        <f>IFERROR(__xludf.DUMMYFUNCTION("""COMPUTED_VALUE"""),0.0)</f>
        <v>0</v>
      </c>
      <c r="J59" s="59">
        <f>IFERROR(__xludf.DUMMYFUNCTION("""COMPUTED_VALUE"""),5.0)</f>
        <v>5</v>
      </c>
      <c r="K59" s="51"/>
      <c r="L59" s="60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IFERROR(__xludf.DUMMYFUNCTION("""COMPUTED_VALUE"""),6.0)</f>
        <v>6</v>
      </c>
      <c r="F60" s="55">
        <f>IFERROR(__xludf.DUMMYFUNCTION("""COMPUTED_VALUE"""),1.9)</f>
        <v>1.9</v>
      </c>
      <c r="G60" s="56">
        <f>IFERROR(__xludf.DUMMYFUNCTION("""COMPUTED_VALUE"""),1.0)</f>
        <v>1</v>
      </c>
      <c r="H60" s="57">
        <f>IFERROR(__xludf.DUMMYFUNCTION("""COMPUTED_VALUE"""),8.9)</f>
        <v>8.9</v>
      </c>
      <c r="I60" s="68">
        <f>IFERROR(__xludf.DUMMYFUNCTION("""COMPUTED_VALUE"""),0.0)</f>
        <v>0</v>
      </c>
      <c r="J60" s="59">
        <f>IFERROR(__xludf.DUMMYFUNCTION("""COMPUTED_VALUE"""),9.0)</f>
        <v>9</v>
      </c>
      <c r="K60" s="51"/>
      <c r="L60" s="60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IFERROR(__xludf.DUMMYFUNCTION("""COMPUTED_VALUE"""),3.6)</f>
        <v>3.6</v>
      </c>
      <c r="F61" s="55">
        <f>IFERROR(__xludf.DUMMYFUNCTION("""COMPUTED_VALUE"""),1.8)</f>
        <v>1.8</v>
      </c>
      <c r="G61" s="56">
        <f>IFERROR(__xludf.DUMMYFUNCTION("""COMPUTED_VALUE"""),0.0)</f>
        <v>0</v>
      </c>
      <c r="H61" s="57">
        <f>IFERROR(__xludf.DUMMYFUNCTION("""COMPUTED_VALUE"""),5.4)</f>
        <v>5.4</v>
      </c>
      <c r="I61" s="68">
        <f>IFERROR(__xludf.DUMMYFUNCTION("""COMPUTED_VALUE"""),0.0)</f>
        <v>0</v>
      </c>
      <c r="J61" s="59">
        <f>IFERROR(__xludf.DUMMYFUNCTION("""COMPUTED_VALUE"""),5.0)</f>
        <v>5</v>
      </c>
      <c r="K61" s="51"/>
      <c r="L61" s="60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>
        <f>IFERROR(__xludf.DUMMYFUNCTION("""COMPUTED_VALUE"""),2.0)</f>
        <v>2</v>
      </c>
      <c r="H62" s="57">
        <f>IFERROR(__xludf.DUMMYFUNCTION("""COMPUTED_VALUE"""),12.0)</f>
        <v>12</v>
      </c>
      <c r="I62" s="68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IFERROR(__xludf.DUMMYFUNCTION("""COMPUTED_VALUE"""),12.0)</f>
        <v>12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IFERROR(__xludf.DUMMYFUNCTION("""COMPUTED_VALUE"""),1.6)</f>
        <v>1.6</v>
      </c>
      <c r="F63" s="55">
        <f>IFERROR(__xludf.DUMMYFUNCTION("""COMPUTED_VALUE"""),1.7)</f>
        <v>1.7</v>
      </c>
      <c r="G63" s="56">
        <f>IFERROR(__xludf.DUMMYFUNCTION("""COMPUTED_VALUE"""),1.0)</f>
        <v>1</v>
      </c>
      <c r="H63" s="57">
        <f>IFERROR(__xludf.DUMMYFUNCTION("""COMPUTED_VALUE"""),4.3)</f>
        <v>4.3</v>
      </c>
      <c r="I63" s="68">
        <f>IFERROR(__xludf.DUMMYFUNCTION("""COMPUTED_VALUE"""),0.0)</f>
        <v>0</v>
      </c>
      <c r="J63" s="59">
        <f>IFERROR(__xludf.DUMMYFUNCTION("""COMPUTED_VALUE"""),5.0)</f>
        <v>5</v>
      </c>
      <c r="K63" s="51"/>
      <c r="L63" s="60">
        <f>IFERROR(__xludf.DUMMYFUNCTION("""COMPUTED_VALUE"""),4.0)</f>
        <v>4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75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82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3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IFERROR(__xludf.DUMMYFUNCTION("""COMPUTED_VALUE"""),22.0)</f>
        <v>22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IFERROR(__xludf.DUMMYFUNCTION("""COMPUTED_VALUE"""),25.0)</f>
        <v>25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IFERROR(__xludf.DUMMYFUNCTION("""COMPUTED_VALUE"""),46.808510638297875)</f>
        <v>46.80851064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IFERROR(__xludf.DUMMYFUNCTION("""COMPUTED_VALUE"""),6.446808510638298)</f>
        <v>6.446808511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IFERROR(__xludf.DUMMYFUNCTION("IMPORTRANGE(""https://docs.google.com/spreadsheets/d/1HPE5TEKBOu3O40f04LRpHNrEE5hiGRvXPuWG9UEzjKs/edit?gid=355663682#gid=355663682"",""2-1 conciencia historica i!A1:Q86"")"),"")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I")</f>
        <v>CONCIENCIA HISTÓRICA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IFERROR(__xludf.DUMMYFUNCTION("""COMPUTED_VALUE"""),6.6)</f>
        <v>6.6</v>
      </c>
      <c r="F17" s="55">
        <f>IFERROR(__xludf.DUMMYFUNCTION("""COMPUTED_VALUE"""),2.0)</f>
        <v>2</v>
      </c>
      <c r="G17" s="56"/>
      <c r="H17" s="57">
        <f>IFERROR(__xludf.DUMMYFUNCTION("""COMPUTED_VALUE"""),8.6)</f>
        <v>8.6</v>
      </c>
      <c r="I17" s="58">
        <f>IFERROR(__xludf.DUMMYFUNCTION("""COMPUTED_VALUE"""),3.0)</f>
        <v>3</v>
      </c>
      <c r="J17" s="59">
        <f>IFERROR(__xludf.DUMMYFUNCTION("""COMPUTED_VALUE"""),9.0)</f>
        <v>9</v>
      </c>
      <c r="K17" s="60"/>
      <c r="L17" s="61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IFERROR(__xludf.DUMMYFUNCTION("""COMPUTED_VALUE"""),7.0)</f>
        <v>7</v>
      </c>
      <c r="F18" s="55">
        <f>IFERROR(__xludf.DUMMYFUNCTION("""COMPUTED_VALUE"""),2.0)</f>
        <v>2</v>
      </c>
      <c r="G18" s="56"/>
      <c r="H18" s="57">
        <f>IFERROR(__xludf.DUMMYFUNCTION("""COMPUTED_VALUE"""),9.0)</f>
        <v>9</v>
      </c>
      <c r="I18" s="58">
        <f>IFERROR(__xludf.DUMMYFUNCTION("""COMPUTED_VALUE"""),1.0)</f>
        <v>1</v>
      </c>
      <c r="J18" s="59">
        <f>IFERROR(__xludf.DUMMYFUNCTION("""COMPUTED_VALUE"""),9.0)</f>
        <v>9</v>
      </c>
      <c r="K18" s="51"/>
      <c r="L18" s="61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IFERROR(__xludf.DUMMYFUNCTION("""COMPUTED_VALUE"""),7.2)</f>
        <v>7.2</v>
      </c>
      <c r="F19" s="55">
        <f>IFERROR(__xludf.DUMMYFUNCTION("""COMPUTED_VALUE"""),2.0)</f>
        <v>2</v>
      </c>
      <c r="G19" s="56"/>
      <c r="H19" s="57">
        <f>IFERROR(__xludf.DUMMYFUNCTION("""COMPUTED_VALUE"""),9.2)</f>
        <v>9.2</v>
      </c>
      <c r="I19" s="58">
        <f>IFERROR(__xludf.DUMMYFUNCTION("""COMPUTED_VALUE"""),0.0)</f>
        <v>0</v>
      </c>
      <c r="J19" s="59">
        <f>IFERROR(__xludf.DUMMYFUNCTION("""COMPUTED_VALUE"""),9.0)</f>
        <v>9</v>
      </c>
      <c r="K19" s="51"/>
      <c r="L19" s="61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IFERROR(__xludf.DUMMYFUNCTION("""COMPUTED_VALUE"""),7.6)</f>
        <v>7.6</v>
      </c>
      <c r="F20" s="55">
        <f>IFERROR(__xludf.DUMMYFUNCTION("""COMPUTED_VALUE"""),2.0)</f>
        <v>2</v>
      </c>
      <c r="G20" s="56"/>
      <c r="H20" s="57">
        <f>IFERROR(__xludf.DUMMYFUNCTION("""COMPUTED_VALUE"""),9.6)</f>
        <v>9.6</v>
      </c>
      <c r="I20" s="58">
        <f>IFERROR(__xludf.DUMMYFUNCTION("""COMPUTED_VALUE"""),2.0)</f>
        <v>2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IFERROR(__xludf.DUMMYFUNCTION("""COMPUTED_VALUE"""),7.7)</f>
        <v>7.7</v>
      </c>
      <c r="F21" s="55">
        <f>IFERROR(__xludf.DUMMYFUNCTION("""COMPUTED_VALUE"""),2.0)</f>
        <v>2</v>
      </c>
      <c r="G21" s="56"/>
      <c r="H21" s="57">
        <f>IFERROR(__xludf.DUMMYFUNCTION("""COMPUTED_VALUE"""),9.7)</f>
        <v>9.7</v>
      </c>
      <c r="I21" s="58">
        <f>IFERROR(__xludf.DUMMYFUNCTION("""COMPUTED_VALUE"""),1.0)</f>
        <v>1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IFERROR(__xludf.DUMMYFUNCTION("""COMPUTED_VALUE"""),7.5)</f>
        <v>7.5</v>
      </c>
      <c r="F22" s="55">
        <f>IFERROR(__xludf.DUMMYFUNCTION("""COMPUTED_VALUE"""),2.0)</f>
        <v>2</v>
      </c>
      <c r="G22" s="56"/>
      <c r="H22" s="57">
        <f>IFERROR(__xludf.DUMMYFUNCTION("""COMPUTED_VALUE"""),9.5)</f>
        <v>9.5</v>
      </c>
      <c r="I22" s="58">
        <f>IFERROR(__xludf.DUMMYFUNCTION("""COMPUTED_VALUE"""),1.0)</f>
        <v>1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IFERROR(__xludf.DUMMYFUNCTION("""COMPUTED_VALUE"""),0.0)</f>
        <v>0</v>
      </c>
      <c r="F23" s="55">
        <f>IFERROR(__xludf.DUMMYFUNCTION("""COMPUTED_VALUE"""),0.0)</f>
        <v>0</v>
      </c>
      <c r="G23" s="56"/>
      <c r="H23" s="57">
        <f>IFERROR(__xludf.DUMMYFUNCTION("""COMPUTED_VALUE"""),0.0)</f>
        <v>0</v>
      </c>
      <c r="I23" s="58">
        <f>IFERROR(__xludf.DUMMYFUNCTION("""COMPUTED_VALUE"""),5.0)</f>
        <v>5</v>
      </c>
      <c r="J23" s="59">
        <f>IFERROR(__xludf.DUMMYFUNCTION("""COMPUTED_VALUE"""),5.0)</f>
        <v>5</v>
      </c>
      <c r="K23" s="51"/>
      <c r="L23" s="61">
        <f>IFERROR(__xludf.DUMMYFUNCTION("""COMPUTED_VALUE"""),0.0)</f>
        <v>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IFERROR(__xludf.DUMMYFUNCTION("""COMPUTED_VALUE"""),5.8)</f>
        <v>5.8</v>
      </c>
      <c r="F24" s="55">
        <f>IFERROR(__xludf.DUMMYFUNCTION("""COMPUTED_VALUE"""),2.0)</f>
        <v>2</v>
      </c>
      <c r="G24" s="56"/>
      <c r="H24" s="57">
        <f>IFERROR(__xludf.DUMMYFUNCTION("""COMPUTED_VALUE"""),7.8)</f>
        <v>7.8</v>
      </c>
      <c r="I24" s="58">
        <f>IFERROR(__xludf.DUMMYFUNCTION("""COMPUTED_VALUE"""),1.0)</f>
        <v>1</v>
      </c>
      <c r="J24" s="59">
        <f>IFERROR(__xludf.DUMMYFUNCTION("""COMPUTED_VALUE"""),8.0)</f>
        <v>8</v>
      </c>
      <c r="K24" s="51"/>
      <c r="L24" s="61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IFERROR(__xludf.DUMMYFUNCTION("""COMPUTED_VALUE"""),18.0)</f>
        <v>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IFERROR(__xludf.DUMMYFUNCTION("""COMPUTED_VALUE"""),6.8)</f>
        <v>6.8</v>
      </c>
      <c r="F25" s="55">
        <f>IFERROR(__xludf.DUMMYFUNCTION("""COMPUTED_VALUE"""),2.0)</f>
        <v>2</v>
      </c>
      <c r="G25" s="56"/>
      <c r="H25" s="57">
        <f>IFERROR(__xludf.DUMMYFUNCTION("""COMPUTED_VALUE"""),8.8)</f>
        <v>8.8</v>
      </c>
      <c r="I25" s="58">
        <f>IFERROR(__xludf.DUMMYFUNCTION("""COMPUTED_VALUE"""),0.0)</f>
        <v>0</v>
      </c>
      <c r="J25" s="59">
        <f>IFERROR(__xludf.DUMMYFUNCTION("""COMPUTED_VALUE"""),9.0)</f>
        <v>9</v>
      </c>
      <c r="K25" s="51"/>
      <c r="L25" s="61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IFERROR(__xludf.DUMMYFUNCTION("""COMPUTED_VALUE"""),5.7)</f>
        <v>5.7</v>
      </c>
      <c r="F26" s="55">
        <f>IFERROR(__xludf.DUMMYFUNCTION("""COMPUTED_VALUE"""),0.0)</f>
        <v>0</v>
      </c>
      <c r="G26" s="56"/>
      <c r="H26" s="57">
        <f>IFERROR(__xludf.DUMMYFUNCTION("""COMPUTED_VALUE"""),5.7)</f>
        <v>5.7</v>
      </c>
      <c r="I26" s="58">
        <f>IFERROR(__xludf.DUMMYFUNCTION("""COMPUTED_VALUE"""),0.0)</f>
        <v>0</v>
      </c>
      <c r="J26" s="59">
        <f>IFERROR(__xludf.DUMMYFUNCTION("""COMPUTED_VALUE"""),5.0)</f>
        <v>5</v>
      </c>
      <c r="K26" s="51"/>
      <c r="L26" s="61">
        <f>IFERROR(__xludf.DUMMYFUNCTION("""COMPUTED_VALUE"""),5.0)</f>
        <v>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IFERROR(__xludf.DUMMYFUNCTION("""COMPUTED_VALUE"""),6.7)</f>
        <v>6.7</v>
      </c>
      <c r="F27" s="55">
        <f>IFERROR(__xludf.DUMMYFUNCTION("""COMPUTED_VALUE"""),2.0)</f>
        <v>2</v>
      </c>
      <c r="G27" s="56"/>
      <c r="H27" s="57">
        <f>IFERROR(__xludf.DUMMYFUNCTION("""COMPUTED_VALUE"""),8.7)</f>
        <v>8.7</v>
      </c>
      <c r="I27" s="58">
        <f>IFERROR(__xludf.DUMMYFUNCTION("""COMPUTED_VALUE"""),0.0)</f>
        <v>0</v>
      </c>
      <c r="J27" s="59">
        <f>IFERROR(__xludf.DUMMYFUNCTION("""COMPUTED_VALUE"""),9.0)</f>
        <v>9</v>
      </c>
      <c r="K27" s="51"/>
      <c r="L27" s="61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IFERROR(__xludf.DUMMYFUNCTION("""COMPUTED_VALUE"""),7.7)</f>
        <v>7.7</v>
      </c>
      <c r="F28" s="55">
        <f>IFERROR(__xludf.DUMMYFUNCTION("""COMPUTED_VALUE"""),2.0)</f>
        <v>2</v>
      </c>
      <c r="G28" s="56"/>
      <c r="H28" s="57">
        <f>IFERROR(__xludf.DUMMYFUNCTION("""COMPUTED_VALUE"""),9.7)</f>
        <v>9.7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IFERROR(__xludf.DUMMYFUNCTION("""COMPUTED_VALUE"""),5.0)</f>
        <v>5</v>
      </c>
      <c r="F29" s="55">
        <f>IFERROR(__xludf.DUMMYFUNCTION("""COMPUTED_VALUE"""),2.0)</f>
        <v>2</v>
      </c>
      <c r="G29" s="56"/>
      <c r="H29" s="57">
        <f>IFERROR(__xludf.DUMMYFUNCTION("""COMPUTED_VALUE"""),7.0)</f>
        <v>7</v>
      </c>
      <c r="I29" s="58">
        <f>IFERROR(__xludf.DUMMYFUNCTION("""COMPUTED_VALUE"""),0.0)</f>
        <v>0</v>
      </c>
      <c r="J29" s="59">
        <f>IFERROR(__xludf.DUMMYFUNCTION("""COMPUTED_VALUE"""),7.0)</f>
        <v>7</v>
      </c>
      <c r="K29" s="51"/>
      <c r="L29" s="61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IFERROR(__xludf.DUMMYFUNCTION("""COMPUTED_VALUE"""),2.2)</f>
        <v>2.2</v>
      </c>
      <c r="F30" s="55">
        <f>IFERROR(__xludf.DUMMYFUNCTION("""COMPUTED_VALUE"""),2.0)</f>
        <v>2</v>
      </c>
      <c r="G30" s="56"/>
      <c r="H30" s="57">
        <f>IFERROR(__xludf.DUMMYFUNCTION("""COMPUTED_VALUE"""),4.2)</f>
        <v>4.2</v>
      </c>
      <c r="I30" s="58">
        <f>IFERROR(__xludf.DUMMYFUNCTION("""COMPUTED_VALUE"""),6.0)</f>
        <v>6</v>
      </c>
      <c r="J30" s="59">
        <f>IFERROR(__xludf.DUMMYFUNCTION("""COMPUTED_VALUE"""),5.0)</f>
        <v>5</v>
      </c>
      <c r="K30" s="51"/>
      <c r="L30" s="61">
        <f>IFERROR(__xludf.DUMMYFUNCTION("""COMPUTED_VALUE"""),4.0)</f>
        <v>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IFERROR(__xludf.DUMMYFUNCTION("""COMPUTED_VALUE"""),7.5)</f>
        <v>7.5</v>
      </c>
      <c r="F31" s="55">
        <f>IFERROR(__xludf.DUMMYFUNCTION("""COMPUTED_VALUE"""),2.0)</f>
        <v>2</v>
      </c>
      <c r="G31" s="56"/>
      <c r="H31" s="57">
        <f>IFERROR(__xludf.DUMMYFUNCTION("""COMPUTED_VALUE"""),9.5)</f>
        <v>9.5</v>
      </c>
      <c r="I31" s="58">
        <f>IFERROR(__xludf.DUMMYFUNCTION("""COMPUTED_VALUE"""),1.0)</f>
        <v>1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IFERROR(__xludf.DUMMYFUNCTION("""COMPUTED_VALUE"""),6.1)</f>
        <v>6.1</v>
      </c>
      <c r="F32" s="55">
        <f>IFERROR(__xludf.DUMMYFUNCTION("""COMPUTED_VALUE"""),2.0)</f>
        <v>2</v>
      </c>
      <c r="G32" s="56"/>
      <c r="H32" s="57">
        <f>IFERROR(__xludf.DUMMYFUNCTION("""COMPUTED_VALUE"""),8.1)</f>
        <v>8.1</v>
      </c>
      <c r="I32" s="58">
        <f>IFERROR(__xludf.DUMMYFUNCTION("""COMPUTED_VALUE"""),1.0)</f>
        <v>1</v>
      </c>
      <c r="J32" s="59">
        <f>IFERROR(__xludf.DUMMYFUNCTION("""COMPUTED_VALUE"""),8.0)</f>
        <v>8</v>
      </c>
      <c r="K32" s="51"/>
      <c r="L32" s="61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IFERROR(__xludf.DUMMYFUNCTION("""COMPUTED_VALUE"""),7.6)</f>
        <v>7.6</v>
      </c>
      <c r="F33" s="55">
        <f>IFERROR(__xludf.DUMMYFUNCTION("""COMPUTED_VALUE"""),2.0)</f>
        <v>2</v>
      </c>
      <c r="G33" s="56"/>
      <c r="H33" s="57">
        <f>IFERROR(__xludf.DUMMYFUNCTION("""COMPUTED_VALUE"""),9.6)</f>
        <v>9.6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IFERROR(__xludf.DUMMYFUNCTION("""COMPUTED_VALUE"""),6.2)</f>
        <v>6.2</v>
      </c>
      <c r="F34" s="55">
        <f>IFERROR(__xludf.DUMMYFUNCTION("""COMPUTED_VALUE"""),2.0)</f>
        <v>2</v>
      </c>
      <c r="G34" s="56"/>
      <c r="H34" s="57">
        <f>IFERROR(__xludf.DUMMYFUNCTION("""COMPUTED_VALUE"""),8.2)</f>
        <v>8.2</v>
      </c>
      <c r="I34" s="58">
        <f>IFERROR(__xludf.DUMMYFUNCTION("""COMPUTED_VALUE"""),7.0)</f>
        <v>7</v>
      </c>
      <c r="J34" s="59">
        <f>IFERROR(__xludf.DUMMYFUNCTION("""COMPUTED_VALUE"""),8.0)</f>
        <v>8</v>
      </c>
      <c r="K34" s="51"/>
      <c r="L34" s="61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IFERROR(__xludf.DUMMYFUNCTION("""COMPUTED_VALUE"""),6.9)</f>
        <v>6.9</v>
      </c>
      <c r="F35" s="55">
        <f>IFERROR(__xludf.DUMMYFUNCTION("""COMPUTED_VALUE"""),2.0)</f>
        <v>2</v>
      </c>
      <c r="G35" s="56">
        <f>IFERROR(__xludf.DUMMYFUNCTION("""COMPUTED_VALUE"""),1.0)</f>
        <v>1</v>
      </c>
      <c r="H35" s="57">
        <f>IFERROR(__xludf.DUMMYFUNCTION("""COMPUTED_VALUE"""),9.9)</f>
        <v>9.9</v>
      </c>
      <c r="I35" s="58">
        <f>IFERROR(__xludf.DUMMYFUNCTION("""COMPUTED_VALUE"""),3.0)</f>
        <v>3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IFERROR(__xludf.DUMMYFUNCTION("""COMPUTED_VALUE"""),6.3)</f>
        <v>6.3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IFERROR(__xludf.DUMMYFUNCTION("""COMPUTED_VALUE"""),9.3)</f>
        <v>9.3</v>
      </c>
      <c r="I36" s="58">
        <f>IFERROR(__xludf.DUMMYFUNCTION("""COMPUTED_VALUE"""),2.0)</f>
        <v>2</v>
      </c>
      <c r="J36" s="59">
        <f>IFERROR(__xludf.DUMMYFUNCTION("""COMPUTED_VALUE"""),9.0)</f>
        <v>9</v>
      </c>
      <c r="K36" s="51"/>
      <c r="L36" s="61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IFERROR(__xludf.DUMMYFUNCTION("""COMPUTED_VALUE"""),7.7)</f>
        <v>7.7</v>
      </c>
      <c r="F37" s="55">
        <f>IFERROR(__xludf.DUMMYFUNCTION("""COMPUTED_VALUE"""),2.0)</f>
        <v>2</v>
      </c>
      <c r="G37" s="56"/>
      <c r="H37" s="57">
        <f>IFERROR(__xludf.DUMMYFUNCTION("""COMPUTED_VALUE"""),9.7)</f>
        <v>9.7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IFERROR(__xludf.DUMMYFUNCTION("""COMPUTED_VALUE"""),5.8)</f>
        <v>5.8</v>
      </c>
      <c r="F38" s="55">
        <f>IFERROR(__xludf.DUMMYFUNCTION("""COMPUTED_VALUE"""),2.0)</f>
        <v>2</v>
      </c>
      <c r="G38" s="56"/>
      <c r="H38" s="57">
        <f>IFERROR(__xludf.DUMMYFUNCTION("""COMPUTED_VALUE"""),7.8)</f>
        <v>7.8</v>
      </c>
      <c r="I38" s="58">
        <f>IFERROR(__xludf.DUMMYFUNCTION("""COMPUTED_VALUE"""),3.0)</f>
        <v>3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IFERROR(__xludf.DUMMYFUNCTION("""COMPUTED_VALUE"""),6.9)</f>
        <v>6.9</v>
      </c>
      <c r="F39" s="55">
        <f>IFERROR(__xludf.DUMMYFUNCTION("""COMPUTED_VALUE"""),2.0)</f>
        <v>2</v>
      </c>
      <c r="G39" s="56"/>
      <c r="H39" s="57">
        <f>IFERROR(__xludf.DUMMYFUNCTION("""COMPUTED_VALUE"""),8.9)</f>
        <v>8.9</v>
      </c>
      <c r="I39" s="58">
        <f>IFERROR(__xludf.DUMMYFUNCTION("""COMPUTED_VALUE"""),0.0)</f>
        <v>0</v>
      </c>
      <c r="J39" s="59">
        <f>IFERROR(__xludf.DUMMYFUNCTION("""COMPUTED_VALUE"""),9.0)</f>
        <v>9</v>
      </c>
      <c r="K39" s="51"/>
      <c r="L39" s="61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IFERROR(__xludf.DUMMYFUNCTION("""COMPUTED_VALUE"""),4.1)</f>
        <v>4.1</v>
      </c>
      <c r="F40" s="55">
        <f>IFERROR(__xludf.DUMMYFUNCTION("""COMPUTED_VALUE"""),0.0)</f>
        <v>0</v>
      </c>
      <c r="G40" s="56"/>
      <c r="H40" s="57">
        <f>IFERROR(__xludf.DUMMYFUNCTION("""COMPUTED_VALUE"""),4.1)</f>
        <v>4.1</v>
      </c>
      <c r="I40" s="58">
        <f>IFERROR(__xludf.DUMMYFUNCTION("""COMPUTED_VALUE"""),1.0)</f>
        <v>1</v>
      </c>
      <c r="J40" s="59">
        <f>IFERROR(__xludf.DUMMYFUNCTION("""COMPUTED_VALUE"""),5.0)</f>
        <v>5</v>
      </c>
      <c r="K40" s="51"/>
      <c r="L40" s="61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IFERROR(__xludf.DUMMYFUNCTION("""COMPUTED_VALUE"""),6.8)</f>
        <v>6.8</v>
      </c>
      <c r="F41" s="55">
        <f>IFERROR(__xludf.DUMMYFUNCTION("""COMPUTED_VALUE"""),2.0)</f>
        <v>2</v>
      </c>
      <c r="G41" s="56"/>
      <c r="H41" s="57">
        <f>IFERROR(__xludf.DUMMYFUNCTION("""COMPUTED_VALUE"""),8.8)</f>
        <v>8.8</v>
      </c>
      <c r="I41" s="58">
        <f>IFERROR(__xludf.DUMMYFUNCTION("""COMPUTED_VALUE"""),1.0)</f>
        <v>1</v>
      </c>
      <c r="J41" s="59">
        <f>IFERROR(__xludf.DUMMYFUNCTION("""COMPUTED_VALUE"""),9.0)</f>
        <v>9</v>
      </c>
      <c r="K41" s="51"/>
      <c r="L41" s="61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IFERROR(__xludf.DUMMYFUNCTION("""COMPUTED_VALUE"""),4.6)</f>
        <v>4.6</v>
      </c>
      <c r="F42" s="55">
        <f>IFERROR(__xludf.DUMMYFUNCTION("""COMPUTED_VALUE"""),2.0)</f>
        <v>2</v>
      </c>
      <c r="G42" s="56"/>
      <c r="H42" s="57">
        <f>IFERROR(__xludf.DUMMYFUNCTION("""COMPUTED_VALUE"""),6.6)</f>
        <v>6.6</v>
      </c>
      <c r="I42" s="58">
        <f>IFERROR(__xludf.DUMMYFUNCTION("""COMPUTED_VALUE"""),0.0)</f>
        <v>0</v>
      </c>
      <c r="J42" s="59">
        <f>IFERROR(__xludf.DUMMYFUNCTION("""COMPUTED_VALUE"""),7.0)</f>
        <v>7</v>
      </c>
      <c r="K42" s="51"/>
      <c r="L42" s="61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IFERROR(__xludf.DUMMYFUNCTION("""COMPUTED_VALUE"""),6.4)</f>
        <v>6.4</v>
      </c>
      <c r="F43" s="55">
        <f>IFERROR(__xludf.DUMMYFUNCTION("""COMPUTED_VALUE"""),2.0)</f>
        <v>2</v>
      </c>
      <c r="G43" s="56">
        <f>IFERROR(__xludf.DUMMYFUNCTION("""COMPUTED_VALUE"""),1.0)</f>
        <v>1</v>
      </c>
      <c r="H43" s="57">
        <f>IFERROR(__xludf.DUMMYFUNCTION("""COMPUTED_VALUE"""),9.4)</f>
        <v>9.4</v>
      </c>
      <c r="I43" s="58">
        <f>IFERROR(__xludf.DUMMYFUNCTION("""COMPUTED_VALUE"""),1.0)</f>
        <v>1</v>
      </c>
      <c r="J43" s="59">
        <f>IFERROR(__xludf.DUMMYFUNCTION("""COMPUTED_VALUE"""),9.0)</f>
        <v>9</v>
      </c>
      <c r="K43" s="51"/>
      <c r="L43" s="61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IFERROR(__xludf.DUMMYFUNCTION("""COMPUTED_VALUE"""),6.6)</f>
        <v>6.6</v>
      </c>
      <c r="F44" s="55">
        <f>IFERROR(__xludf.DUMMYFUNCTION("""COMPUTED_VALUE"""),2.0)</f>
        <v>2</v>
      </c>
      <c r="G44" s="56"/>
      <c r="H44" s="57">
        <f>IFERROR(__xludf.DUMMYFUNCTION("""COMPUTED_VALUE"""),8.6)</f>
        <v>8.6</v>
      </c>
      <c r="I44" s="58">
        <f>IFERROR(__xludf.DUMMYFUNCTION("""COMPUTED_VALUE"""),3.0)</f>
        <v>3</v>
      </c>
      <c r="J44" s="59">
        <f>IFERROR(__xludf.DUMMYFUNCTION("""COMPUTED_VALUE"""),9.0)</f>
        <v>9</v>
      </c>
      <c r="K44" s="51"/>
      <c r="L44" s="61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IFERROR(__xludf.DUMMYFUNCTION("""COMPUTED_VALUE"""),5.7)</f>
        <v>5.7</v>
      </c>
      <c r="F45" s="55">
        <f>IFERROR(__xludf.DUMMYFUNCTION("""COMPUTED_VALUE"""),2.0)</f>
        <v>2</v>
      </c>
      <c r="G45" s="56"/>
      <c r="H45" s="57">
        <f>IFERROR(__xludf.DUMMYFUNCTION("""COMPUTED_VALUE"""),7.7)</f>
        <v>7.7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IFERROR(__xludf.DUMMYFUNCTION("""COMPUTED_VALUE"""),4.3)</f>
        <v>4.3</v>
      </c>
      <c r="F46" s="55">
        <f>IFERROR(__xludf.DUMMYFUNCTION("""COMPUTED_VALUE"""),0.0)</f>
        <v>0</v>
      </c>
      <c r="G46" s="56"/>
      <c r="H46" s="57">
        <f>IFERROR(__xludf.DUMMYFUNCTION("""COMPUTED_VALUE"""),4.3)</f>
        <v>4.3</v>
      </c>
      <c r="I46" s="58">
        <f>IFERROR(__xludf.DUMMYFUNCTION("""COMPUTED_VALUE"""),0.0)</f>
        <v>0</v>
      </c>
      <c r="J46" s="59">
        <f>IFERROR(__xludf.DUMMYFUNCTION("""COMPUTED_VALUE"""),5.0)</f>
        <v>5</v>
      </c>
      <c r="K46" s="51"/>
      <c r="L46" s="61">
        <f>IFERROR(__xludf.DUMMYFUNCTION("""COMPUTED_VALUE"""),4.0)</f>
        <v>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IFERROR(__xludf.DUMMYFUNCTION("""COMPUTED_VALUE"""),7.4)</f>
        <v>7.4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IFERROR(__xludf.DUMMYFUNCTION("""COMPUTED_VALUE"""),10.4)</f>
        <v>10.4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IFERROR(__xludf.DUMMYFUNCTION("""COMPUTED_VALUE"""),6.6)</f>
        <v>6.6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IFERROR(__xludf.DUMMYFUNCTION("""COMPUTED_VALUE"""),9.6)</f>
        <v>9.6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IFERROR(__xludf.DUMMYFUNCTION("""COMPUTED_VALUE"""),6.5)</f>
        <v>6.5</v>
      </c>
      <c r="F49" s="55">
        <f>IFERROR(__xludf.DUMMYFUNCTION("""COMPUTED_VALUE"""),2.0)</f>
        <v>2</v>
      </c>
      <c r="G49" s="56"/>
      <c r="H49" s="57">
        <f>IFERROR(__xludf.DUMMYFUNCTION("""COMPUTED_VALUE"""),8.5)</f>
        <v>8.5</v>
      </c>
      <c r="I49" s="58">
        <f>IFERROR(__xludf.DUMMYFUNCTION("""COMPUTED_VALUE"""),0.0)</f>
        <v>0</v>
      </c>
      <c r="J49" s="59">
        <f>IFERROR(__xludf.DUMMYFUNCTION("""COMPUTED_VALUE"""),9.0)</f>
        <v>9</v>
      </c>
      <c r="K49" s="51"/>
      <c r="L49" s="61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IFERROR(__xludf.DUMMYFUNCTION("""COMPUTED_VALUE"""),6.9)</f>
        <v>6.9</v>
      </c>
      <c r="F50" s="55">
        <f>IFERROR(__xludf.DUMMYFUNCTION("""COMPUTED_VALUE"""),2.0)</f>
        <v>2</v>
      </c>
      <c r="G50" s="56"/>
      <c r="H50" s="57">
        <f>IFERROR(__xludf.DUMMYFUNCTION("""COMPUTED_VALUE"""),8.9)</f>
        <v>8.9</v>
      </c>
      <c r="I50" s="58">
        <f>IFERROR(__xludf.DUMMYFUNCTION("""COMPUTED_VALUE"""),0.0)</f>
        <v>0</v>
      </c>
      <c r="J50" s="59">
        <f>IFERROR(__xludf.DUMMYFUNCTION("""COMPUTED_VALUE"""),9.0)</f>
        <v>9</v>
      </c>
      <c r="K50" s="51"/>
      <c r="L50" s="61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IFERROR(__xludf.DUMMYFUNCTION("""COMPUTED_VALUE"""),7.4)</f>
        <v>7.4</v>
      </c>
      <c r="F51" s="55">
        <f>IFERROR(__xludf.DUMMYFUNCTION("""COMPUTED_VALUE"""),2.0)</f>
        <v>2</v>
      </c>
      <c r="G51" s="56"/>
      <c r="H51" s="57">
        <f>IFERROR(__xludf.DUMMYFUNCTION("""COMPUTED_VALUE"""),9.4)</f>
        <v>9.4</v>
      </c>
      <c r="I51" s="58">
        <f>IFERROR(__xludf.DUMMYFUNCTION("""COMPUTED_VALUE"""),0.0)</f>
        <v>0</v>
      </c>
      <c r="J51" s="59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IFERROR(__xludf.DUMMYFUNCTION("""COMPUTED_VALUE"""),6.8)</f>
        <v>6.8</v>
      </c>
      <c r="F52" s="55">
        <f>IFERROR(__xludf.DUMMYFUNCTION("""COMPUTED_VALUE"""),2.0)</f>
        <v>2</v>
      </c>
      <c r="G52" s="56"/>
      <c r="H52" s="57">
        <f>IFERROR(__xludf.DUMMYFUNCTION("""COMPUTED_VALUE"""),8.8)</f>
        <v>8.8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IFERROR(__xludf.DUMMYFUNCTION("""COMPUTED_VALUE"""),5.2)</f>
        <v>5.2</v>
      </c>
      <c r="F53" s="55">
        <f>IFERROR(__xludf.DUMMYFUNCTION("""COMPUTED_VALUE"""),2.0)</f>
        <v>2</v>
      </c>
      <c r="G53" s="56"/>
      <c r="H53" s="57">
        <f>IFERROR(__xludf.DUMMYFUNCTION("""COMPUTED_VALUE"""),7.2)</f>
        <v>7.2</v>
      </c>
      <c r="I53" s="58">
        <f>IFERROR(__xludf.DUMMYFUNCTION("""COMPUTED_VALUE"""),3.0)</f>
        <v>3</v>
      </c>
      <c r="J53" s="59">
        <f>IFERROR(__xludf.DUMMYFUNCTION("""COMPUTED_VALUE"""),7.0)</f>
        <v>7</v>
      </c>
      <c r="K53" s="51"/>
      <c r="L53" s="60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IFERROR(__xludf.DUMMYFUNCTION("""COMPUTED_VALUE"""),7.6)</f>
        <v>7.6</v>
      </c>
      <c r="F54" s="55">
        <f>IFERROR(__xludf.DUMMYFUNCTION("""COMPUTED_VALUE"""),2.0)</f>
        <v>2</v>
      </c>
      <c r="G54" s="56"/>
      <c r="H54" s="57">
        <f>IFERROR(__xludf.DUMMYFUNCTION("""COMPUTED_VALUE"""),9.6)</f>
        <v>9.6</v>
      </c>
      <c r="I54" s="68">
        <f>IFERROR(__xludf.DUMMYFUNCTION("""COMPUTED_VALUE"""),1.0)</f>
        <v>1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IFERROR(__xludf.DUMMYFUNCTION("""COMPUTED_VALUE"""),6.9)</f>
        <v>6.9</v>
      </c>
      <c r="F55" s="55">
        <f>IFERROR(__xludf.DUMMYFUNCTION("""COMPUTED_VALUE"""),2.0)</f>
        <v>2</v>
      </c>
      <c r="G55" s="56"/>
      <c r="H55" s="57">
        <f>IFERROR(__xludf.DUMMYFUNCTION("""COMPUTED_VALUE"""),8.9)</f>
        <v>8.9</v>
      </c>
      <c r="I55" s="68">
        <f>IFERROR(__xludf.DUMMYFUNCTION("""COMPUTED_VALUE"""),2.0)</f>
        <v>2</v>
      </c>
      <c r="J55" s="59">
        <f>IFERROR(__xludf.DUMMYFUNCTION("""COMPUTED_VALUE"""),9.0)</f>
        <v>9</v>
      </c>
      <c r="K55" s="51"/>
      <c r="L55" s="60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IFERROR(__xludf.DUMMYFUNCTION("""COMPUTED_VALUE"""),7.2)</f>
        <v>7.2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IFERROR(__xludf.DUMMYFUNCTION("""COMPUTED_VALUE"""),10.2)</f>
        <v>10.2</v>
      </c>
      <c r="I56" s="68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IFERROR(__xludf.DUMMYFUNCTION("""COMPUTED_VALUE"""),6.2)</f>
        <v>6.2</v>
      </c>
      <c r="F57" s="55">
        <f>IFERROR(__xludf.DUMMYFUNCTION("""COMPUTED_VALUE"""),2.0)</f>
        <v>2</v>
      </c>
      <c r="G57" s="56"/>
      <c r="H57" s="57">
        <f>IFERROR(__xludf.DUMMYFUNCTION("""COMPUTED_VALUE"""),8.2)</f>
        <v>8.2</v>
      </c>
      <c r="I57" s="68">
        <f>IFERROR(__xludf.DUMMYFUNCTION("""COMPUTED_VALUE"""),0.0)</f>
        <v>0</v>
      </c>
      <c r="J57" s="59">
        <f>IFERROR(__xludf.DUMMYFUNCTION("""COMPUTED_VALUE"""),8.0)</f>
        <v>8</v>
      </c>
      <c r="K57" s="51"/>
      <c r="L57" s="60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IFERROR(__xludf.DUMMYFUNCTION("""COMPUTED_VALUE"""),6.0)</f>
        <v>6</v>
      </c>
      <c r="F58" s="55">
        <f>IFERROR(__xludf.DUMMYFUNCTION("""COMPUTED_VALUE"""),2.0)</f>
        <v>2</v>
      </c>
      <c r="G58" s="56"/>
      <c r="H58" s="57">
        <f>IFERROR(__xludf.DUMMYFUNCTION("""COMPUTED_VALUE"""),8.0)</f>
        <v>8</v>
      </c>
      <c r="I58" s="68">
        <f>IFERROR(__xludf.DUMMYFUNCTION("""COMPUTED_VALUE"""),0.0)</f>
        <v>0</v>
      </c>
      <c r="J58" s="59">
        <f>IFERROR(__xludf.DUMMYFUNCTION("""COMPUTED_VALUE"""),8.0)</f>
        <v>8</v>
      </c>
      <c r="K58" s="51"/>
      <c r="L58" s="60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IFERROR(__xludf.DUMMYFUNCTION("""COMPUTED_VALUE"""),7.2)</f>
        <v>7.2</v>
      </c>
      <c r="F59" s="55">
        <f>IFERROR(__xludf.DUMMYFUNCTION("""COMPUTED_VALUE"""),2.0)</f>
        <v>2</v>
      </c>
      <c r="G59" s="56"/>
      <c r="H59" s="57">
        <f>IFERROR(__xludf.DUMMYFUNCTION("""COMPUTED_VALUE"""),9.2)</f>
        <v>9.2</v>
      </c>
      <c r="I59" s="68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IFERROR(__xludf.DUMMYFUNCTION("""COMPUTED_VALUE"""),5.7)</f>
        <v>5.7</v>
      </c>
      <c r="F60" s="55">
        <f>IFERROR(__xludf.DUMMYFUNCTION("""COMPUTED_VALUE"""),2.0)</f>
        <v>2</v>
      </c>
      <c r="G60" s="56"/>
      <c r="H60" s="57">
        <f>IFERROR(__xludf.DUMMYFUNCTION("""COMPUTED_VALUE"""),7.7)</f>
        <v>7.7</v>
      </c>
      <c r="I60" s="68">
        <f>IFERROR(__xludf.DUMMYFUNCTION("""COMPUTED_VALUE"""),2.0)</f>
        <v>2</v>
      </c>
      <c r="J60" s="59">
        <f>IFERROR(__xludf.DUMMYFUNCTION("""COMPUTED_VALUE"""),8.0)</f>
        <v>8</v>
      </c>
      <c r="K60" s="51"/>
      <c r="L60" s="60">
        <f>IFERROR(__xludf.DUMMYFUNCTION("""COMPUTED_VALUE"""),8.0)</f>
        <v>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IFERROR(__xludf.DUMMYFUNCTION("""COMPUTED_VALUE"""),6.9)</f>
        <v>6.9</v>
      </c>
      <c r="F61" s="55">
        <f>IFERROR(__xludf.DUMMYFUNCTION("""COMPUTED_VALUE"""),2.0)</f>
        <v>2</v>
      </c>
      <c r="G61" s="56"/>
      <c r="H61" s="57">
        <f>IFERROR(__xludf.DUMMYFUNCTION("""COMPUTED_VALUE"""),8.9)</f>
        <v>8.9</v>
      </c>
      <c r="I61" s="68">
        <f>IFERROR(__xludf.DUMMYFUNCTION("""COMPUTED_VALUE"""),0.0)</f>
        <v>0</v>
      </c>
      <c r="J61" s="59">
        <f>IFERROR(__xludf.DUMMYFUNCTION("""COMPUTED_VALUE"""),9.0)</f>
        <v>9</v>
      </c>
      <c r="K61" s="51"/>
      <c r="L61" s="60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IFERROR(__xludf.DUMMYFUNCTION("""COMPUTED_VALUE"""),7.5)</f>
        <v>7.5</v>
      </c>
      <c r="F62" s="55">
        <f>IFERROR(__xludf.DUMMYFUNCTION("""COMPUTED_VALUE"""),2.0)</f>
        <v>2</v>
      </c>
      <c r="G62" s="56"/>
      <c r="H62" s="57">
        <f>IFERROR(__xludf.DUMMYFUNCTION("""COMPUTED_VALUE"""),9.5)</f>
        <v>9.5</v>
      </c>
      <c r="I62" s="68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IFERROR(__xludf.DUMMYFUNCTION("""COMPUTED_VALUE"""),6.4)</f>
        <v>6.4</v>
      </c>
      <c r="F63" s="55">
        <f>IFERROR(__xludf.DUMMYFUNCTION("""COMPUTED_VALUE"""),2.0)</f>
        <v>2</v>
      </c>
      <c r="G63" s="56"/>
      <c r="H63" s="57">
        <f>IFERROR(__xludf.DUMMYFUNCTION("""COMPUTED_VALUE"""),8.4)</f>
        <v>8.4</v>
      </c>
      <c r="I63" s="68">
        <f>IFERROR(__xludf.DUMMYFUNCTION("""COMPUTED_VALUE"""),2.0)</f>
        <v>2</v>
      </c>
      <c r="J63" s="59">
        <f>IFERROR(__xludf.DUMMYFUNCTION("""COMPUTED_VALUE"""),8.0)</f>
        <v>8</v>
      </c>
      <c r="K63" s="51"/>
      <c r="L63" s="60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75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82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3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IFERROR(__xludf.DUMMYFUNCTION("""COMPUTED_VALUE"""),42.0)</f>
        <v>42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IFERROR(__xludf.DUMMYFUNCTION("""COMPUTED_VALUE"""),5.0)</f>
        <v>5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IFERROR(__xludf.DUMMYFUNCTION("""COMPUTED_VALUE"""),89.36170212765957)</f>
        <v>89.36170213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IFERROR(__xludf.DUMMYFUNCTION("""COMPUTED_VALUE"""),8.53191489361702)</f>
        <v>8.531914894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IFERROR(__xludf.DUMMYFUNCTION("IMPORTRANGE(""https://docs.google.com/spreadsheets/d/13yF9rv4JzECuz3TZ8bN1VgKLDIWGc_plW5kJR6Wxdlk/edit?gid=868681460#gid=868681460"",""2-1 taller de cultura digital!A1:Q86"")"),"")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IFERROR(__xludf.DUMMYFUNCTION("""COMPUTED_VALUE"""),"SAUL CAMACHO CASTELLANOS")</f>
        <v>SAUL CAMACHO CASTELLANOS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IFERROR(__xludf.DUMMYFUNCTION("""COMPUTED_VALUE"""),"TALLER DE CULTURA DIGITAL")</f>
        <v>TALLER DE CULTURA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IFERROR(__xludf.DUMMYFUNCTION("""COMPUTED_VALUE"""),8.0)</f>
        <v>8</v>
      </c>
      <c r="F17" s="55">
        <f>IFERROR(__xludf.DUMMYFUNCTION("""COMPUTED_VALUE"""),2.0)</f>
        <v>2</v>
      </c>
      <c r="G17" s="56">
        <f>IFERROR(__xludf.DUMMYFUNCTION("""COMPUTED_VALUE"""),0.0)</f>
        <v>0</v>
      </c>
      <c r="H17" s="57">
        <f>IFERROR(__xludf.DUMMYFUNCTION("""COMPUTED_VALUE"""),10.0)</f>
        <v>10</v>
      </c>
      <c r="I17" s="58">
        <f>IFERROR(__xludf.DUMMYFUNCTION("""COMPUTED_VALUE"""),0.0)</f>
        <v>0</v>
      </c>
      <c r="J17" s="59">
        <f>IFERROR(__xludf.DUMMYFUNCTION("""COMPUTED_VALUE"""),10.0)</f>
        <v>10</v>
      </c>
      <c r="K17" s="60"/>
      <c r="L17" s="61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IFERROR(__xludf.DUMMYFUNCTION("""COMPUTED_VALUE"""),6.0)</f>
        <v>6</v>
      </c>
      <c r="F18" s="55">
        <f>IFERROR(__xludf.DUMMYFUNCTION("""COMPUTED_VALUE"""),2.0)</f>
        <v>2</v>
      </c>
      <c r="G18" s="56">
        <f>IFERROR(__xludf.DUMMYFUNCTION("""COMPUTED_VALUE"""),0.0)</f>
        <v>0</v>
      </c>
      <c r="H18" s="57">
        <f>IFERROR(__xludf.DUMMYFUNCTION("""COMPUTED_VALUE"""),8.0)</f>
        <v>8</v>
      </c>
      <c r="I18" s="58">
        <f>IFERROR(__xludf.DUMMYFUNCTION("""COMPUTED_VALUE"""),0.0)</f>
        <v>0</v>
      </c>
      <c r="J18" s="59">
        <f>IFERROR(__xludf.DUMMYFUNCTION("""COMPUTED_VALUE"""),8.0)</f>
        <v>8</v>
      </c>
      <c r="K18" s="51"/>
      <c r="L18" s="61">
        <f>IFERROR(__xludf.DUMMYFUNCTION("""COMPUTED_VALUE"""),8.0)</f>
        <v>8</v>
      </c>
      <c r="M18" s="1" t="str">
        <f>IFERROR(__xludf.DUMMYFUNCTION("""COMPUTED_VALUE"""),"Febrero")</f>
        <v>Febrero</v>
      </c>
      <c r="N18" s="1">
        <f>IFERROR(__xludf.DUMMYFUNCTION("""COMPUTED_VALUE"""),2.0)</f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IFERROR(__xludf.DUMMYFUNCTION("""COMPUTED_VALUE"""),7.7)</f>
        <v>7.7</v>
      </c>
      <c r="F19" s="55">
        <f>IFERROR(__xludf.DUMMYFUNCTION("""COMPUTED_VALUE"""),2.0)</f>
        <v>2</v>
      </c>
      <c r="G19" s="56">
        <f>IFERROR(__xludf.DUMMYFUNCTION("""COMPUTED_VALUE"""),0.0)</f>
        <v>0</v>
      </c>
      <c r="H19" s="57">
        <f>IFERROR(__xludf.DUMMYFUNCTION("""COMPUTED_VALUE"""),9.7)</f>
        <v>9.7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>
        <f>IFERROR(__xludf.DUMMYFUNCTION("""COMPUTED_VALUE"""),1.0)</f>
        <v>1</v>
      </c>
      <c r="H20" s="57">
        <f>IFERROR(__xludf.DUMMYFUNCTION("""COMPUTED_VALUE"""),11.0)</f>
        <v>11</v>
      </c>
      <c r="I20" s="58">
        <f>IFERROR(__xludf.DUMMYFUNCTION("""COMPUTED_VALUE"""),1.0)</f>
        <v>1</v>
      </c>
      <c r="J20" s="59">
        <f>IFERROR(__xludf.DUMMYFUNCTION("""COMPUTED_VALUE"""),10.0)</f>
        <v>10</v>
      </c>
      <c r="K20" s="51"/>
      <c r="L20" s="61">
        <f>IFERROR(__xludf.DUMMYFUNCTION("""COMPUTED_VALUE"""),11.0)</f>
        <v>11</v>
      </c>
      <c r="M20" s="1" t="str">
        <f>IFERROR(__xludf.DUMMYFUNCTION("""COMPUTED_VALUE"""),"Abril")</f>
        <v>Abril</v>
      </c>
      <c r="N20" s="1">
        <f>IFERROR(__xludf.DUMMYFUNCTION("""COMPUTED_VALUE"""),3.0)</f>
        <v>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>
        <f>IFERROR(__xludf.DUMMYFUNCTION("""COMPUTED_VALUE"""),0.0)</f>
        <v>0</v>
      </c>
      <c r="H21" s="57">
        <f>IFERROR(__xludf.DUMMYFUNCTION("""COMPUTED_VALUE"""),10.0)</f>
        <v>10</v>
      </c>
      <c r="I21" s="58">
        <f>IFERROR(__xludf.DUMMYFUNCTION("""COMPUTED_VALUE"""),0.0)</f>
        <v>0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IFERROR(__xludf.DUMMYFUNCTION("""COMPUTED_VALUE"""),3.0)</f>
        <v>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>
        <f>IFERROR(__xludf.DUMMYFUNCTION("""COMPUTED_VALUE"""),0.0)</f>
        <v>0</v>
      </c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IFERROR(__xludf.DUMMYFUNCTION("""COMPUTED_VALUE"""),4.0)</f>
        <v>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IFERROR(__xludf.DUMMYFUNCTION("""COMPUTED_VALUE"""),0.0)</f>
        <v>0</v>
      </c>
      <c r="F23" s="55">
        <f>IFERROR(__xludf.DUMMYFUNCTION("""COMPUTED_VALUE"""),2.0)</f>
        <v>2</v>
      </c>
      <c r="G23" s="56">
        <f>IFERROR(__xludf.DUMMYFUNCTION("""COMPUTED_VALUE"""),0.0)</f>
        <v>0</v>
      </c>
      <c r="H23" s="57">
        <f>IFERROR(__xludf.DUMMYFUNCTION("""COMPUTED_VALUE"""),2.0)</f>
        <v>2</v>
      </c>
      <c r="I23" s="58">
        <f>IFERROR(__xludf.DUMMYFUNCTION("""COMPUTED_VALUE"""),0.0)</f>
        <v>0</v>
      </c>
      <c r="J23" s="59">
        <f>IFERROR(__xludf.DUMMYFUNCTION("""COMPUTED_VALUE"""),5.0)</f>
        <v>5</v>
      </c>
      <c r="K23" s="51"/>
      <c r="L23" s="61">
        <f>IFERROR(__xludf.DUMMYFUNCTION("""COMPUTED_VALUE"""),2.0)</f>
        <v>2</v>
      </c>
      <c r="M23" s="1" t="str">
        <f>IFERROR(__xludf.DUMMYFUNCTION("""COMPUTED_VALUE"""),"Julio")</f>
        <v>Julio</v>
      </c>
      <c r="N23" s="1">
        <f>IFERROR(__xludf.DUMMYFUNCTION("""COMPUTED_VALUE"""),2.0)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IFERROR(__xludf.DUMMYFUNCTION("""COMPUTED_VALUE"""),7.7)</f>
        <v>7.7</v>
      </c>
      <c r="F24" s="55">
        <f>IFERROR(__xludf.DUMMYFUNCTION("""COMPUTED_VALUE"""),1.8)</f>
        <v>1.8</v>
      </c>
      <c r="G24" s="56">
        <f>IFERROR(__xludf.DUMMYFUNCTION("""COMPUTED_VALUE"""),0.0)</f>
        <v>0</v>
      </c>
      <c r="H24" s="57">
        <f>IFERROR(__xludf.DUMMYFUNCTION("""COMPUTED_VALUE"""),9.5)</f>
        <v>9.5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IFERROR(__xludf.DUMMYFUNCTION("""COMPUTED_VALUE"""),18.0)</f>
        <v>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>
        <f>IFERROR(__xludf.DUMMYFUNCTION("""COMPUTED_VALUE"""),0.0)</f>
        <v>0</v>
      </c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IFERROR(__xludf.DUMMYFUNCTION("""COMPUTED_VALUE"""),0.0)</f>
        <v>0</v>
      </c>
      <c r="F26" s="55">
        <f>IFERROR(__xludf.DUMMYFUNCTION("""COMPUTED_VALUE"""),2.0)</f>
        <v>2</v>
      </c>
      <c r="G26" s="56">
        <f>IFERROR(__xludf.DUMMYFUNCTION("""COMPUTED_VALUE"""),0.0)</f>
        <v>0</v>
      </c>
      <c r="H26" s="57">
        <f>IFERROR(__xludf.DUMMYFUNCTION("""COMPUTED_VALUE"""),2.0)</f>
        <v>2</v>
      </c>
      <c r="I26" s="58">
        <f>IFERROR(__xludf.DUMMYFUNCTION("""COMPUTED_VALUE"""),1.0)</f>
        <v>1</v>
      </c>
      <c r="J26" s="59">
        <f>IFERROR(__xludf.DUMMYFUNCTION("""COMPUTED_VALUE"""),5.0)</f>
        <v>5</v>
      </c>
      <c r="K26" s="51"/>
      <c r="L26" s="61">
        <f>IFERROR(__xludf.DUMMYFUNCTION("""COMPUTED_VALUE"""),2.0)</f>
        <v>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>
        <f>IFERROR(__xludf.DUMMYFUNCTION("""COMPUTED_VALUE"""),0.0)</f>
        <v>0</v>
      </c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>
        <f>IFERROR(__xludf.DUMMYFUNCTION("""COMPUTED_VALUE"""),0.0)</f>
        <v>0</v>
      </c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IFERROR(__xludf.DUMMYFUNCTION("""COMPUTED_VALUE"""),4.0)</f>
        <v>4</v>
      </c>
      <c r="F29" s="55">
        <f>IFERROR(__xludf.DUMMYFUNCTION("""COMPUTED_VALUE"""),2.0)</f>
        <v>2</v>
      </c>
      <c r="G29" s="56">
        <f>IFERROR(__xludf.DUMMYFUNCTION("""COMPUTED_VALUE"""),0.0)</f>
        <v>0</v>
      </c>
      <c r="H29" s="57">
        <f>IFERROR(__xludf.DUMMYFUNCTION("""COMPUTED_VALUE"""),6.0)</f>
        <v>6</v>
      </c>
      <c r="I29" s="58">
        <f>IFERROR(__xludf.DUMMYFUNCTION("""COMPUTED_VALUE"""),0.0)</f>
        <v>0</v>
      </c>
      <c r="J29" s="59">
        <f>IFERROR(__xludf.DUMMYFUNCTION("""COMPUTED_VALUE"""),6.0)</f>
        <v>6</v>
      </c>
      <c r="K29" s="51"/>
      <c r="L29" s="61">
        <f>IFERROR(__xludf.DUMMYFUNCTION("""COMPUTED_VALUE"""),6.0)</f>
        <v>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IFERROR(__xludf.DUMMYFUNCTION("""COMPUTED_VALUE"""),0.0)</f>
        <v>0</v>
      </c>
      <c r="F30" s="55">
        <f>IFERROR(__xludf.DUMMYFUNCTION("""COMPUTED_VALUE"""),2.0)</f>
        <v>2</v>
      </c>
      <c r="G30" s="56">
        <f>IFERROR(__xludf.DUMMYFUNCTION("""COMPUTED_VALUE"""),0.0)</f>
        <v>0</v>
      </c>
      <c r="H30" s="57">
        <f>IFERROR(__xludf.DUMMYFUNCTION("""COMPUTED_VALUE"""),2.0)</f>
        <v>2</v>
      </c>
      <c r="I30" s="58">
        <f>IFERROR(__xludf.DUMMYFUNCTION("""COMPUTED_VALUE"""),1.0)</f>
        <v>1</v>
      </c>
      <c r="J30" s="59">
        <f>IFERROR(__xludf.DUMMYFUNCTION("""COMPUTED_VALUE"""),5.0)</f>
        <v>5</v>
      </c>
      <c r="K30" s="51"/>
      <c r="L30" s="61">
        <f>IFERROR(__xludf.DUMMYFUNCTION("""COMPUTED_VALUE"""),2.0)</f>
        <v>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IFERROR(__xludf.DUMMYFUNCTION("""COMPUTED_VALUE"""),11.0)</f>
        <v>11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IFERROR(__xludf.DUMMYFUNCTION("""COMPUTED_VALUE"""),11.0)</f>
        <v>11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IFERROR(__xludf.DUMMYFUNCTION("""COMPUTED_VALUE"""),6.5)</f>
        <v>6.5</v>
      </c>
      <c r="F32" s="55">
        <f>IFERROR(__xludf.DUMMYFUNCTION("""COMPUTED_VALUE"""),2.0)</f>
        <v>2</v>
      </c>
      <c r="G32" s="56">
        <f>IFERROR(__xludf.DUMMYFUNCTION("""COMPUTED_VALUE"""),0.0)</f>
        <v>0</v>
      </c>
      <c r="H32" s="57">
        <f>IFERROR(__xludf.DUMMYFUNCTION("""COMPUTED_VALUE"""),8.5)</f>
        <v>8.5</v>
      </c>
      <c r="I32" s="58">
        <f>IFERROR(__xludf.DUMMYFUNCTION("""COMPUTED_VALUE"""),1.0)</f>
        <v>1</v>
      </c>
      <c r="J32" s="59">
        <f>IFERROR(__xludf.DUMMYFUNCTION("""COMPUTED_VALUE"""),9.0)</f>
        <v>9</v>
      </c>
      <c r="K32" s="51"/>
      <c r="L32" s="61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IFERROR(__xludf.DUMMYFUNCTION("""COMPUTED_VALUE"""),11.0)</f>
        <v>11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IFERROR(__xludf.DUMMYFUNCTION("""COMPUTED_VALUE"""),11.0)</f>
        <v>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IFERROR(__xludf.DUMMYFUNCTION("""COMPUTED_VALUE"""),8.0)</f>
        <v>8</v>
      </c>
      <c r="F34" s="55">
        <f>IFERROR(__xludf.DUMMYFUNCTION("""COMPUTED_VALUE"""),2.0)</f>
        <v>2</v>
      </c>
      <c r="G34" s="56">
        <f>IFERROR(__xludf.DUMMYFUNCTION("""COMPUTED_VALUE"""),0.0)</f>
        <v>0</v>
      </c>
      <c r="H34" s="57">
        <f>IFERROR(__xludf.DUMMYFUNCTION("""COMPUTED_VALUE"""),10.0)</f>
        <v>10</v>
      </c>
      <c r="I34" s="58">
        <f>IFERROR(__xludf.DUMMYFUNCTION("""COMPUTED_VALUE"""),0.0)</f>
        <v>0</v>
      </c>
      <c r="J34" s="59">
        <f>IFERROR(__xludf.DUMMYFUNCTION("""COMPUTED_VALUE"""),10.0)</f>
        <v>10</v>
      </c>
      <c r="K34" s="51"/>
      <c r="L34" s="61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IFERROR(__xludf.DUMMYFUNCTION("""COMPUTED_VALUE"""),5.9)</f>
        <v>5.9</v>
      </c>
      <c r="F35" s="55">
        <f>IFERROR(__xludf.DUMMYFUNCTION("""COMPUTED_VALUE"""),1.8)</f>
        <v>1.8</v>
      </c>
      <c r="G35" s="56">
        <f>IFERROR(__xludf.DUMMYFUNCTION("""COMPUTED_VALUE"""),1.0)</f>
        <v>1</v>
      </c>
      <c r="H35" s="57">
        <f>IFERROR(__xludf.DUMMYFUNCTION("""COMPUTED_VALUE"""),8.7)</f>
        <v>8.7</v>
      </c>
      <c r="I35" s="58">
        <f>IFERROR(__xludf.DUMMYFUNCTION("""COMPUTED_VALUE"""),0.0)</f>
        <v>0</v>
      </c>
      <c r="J35" s="59">
        <f>IFERROR(__xludf.DUMMYFUNCTION("""COMPUTED_VALUE"""),9.0)</f>
        <v>9</v>
      </c>
      <c r="K35" s="51"/>
      <c r="L35" s="61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IFERROR(__xludf.DUMMYFUNCTION("""COMPUTED_VALUE"""),11.0)</f>
        <v>11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IFERROR(__xludf.DUMMYFUNCTION("""COMPUTED_VALUE"""),6.9)</f>
        <v>6.9</v>
      </c>
      <c r="F37" s="55">
        <f>IFERROR(__xludf.DUMMYFUNCTION("""COMPUTED_VALUE"""),2.0)</f>
        <v>2</v>
      </c>
      <c r="G37" s="56">
        <f>IFERROR(__xludf.DUMMYFUNCTION("""COMPUTED_VALUE"""),1.0)</f>
        <v>1</v>
      </c>
      <c r="H37" s="57">
        <f>IFERROR(__xludf.DUMMYFUNCTION("""COMPUTED_VALUE"""),9.9)</f>
        <v>9.9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IFERROR(__xludf.DUMMYFUNCTION("""COMPUTED_VALUE"""),6.3)</f>
        <v>6.3</v>
      </c>
      <c r="F38" s="55">
        <f>IFERROR(__xludf.DUMMYFUNCTION("""COMPUTED_VALUE"""),2.0)</f>
        <v>2</v>
      </c>
      <c r="G38" s="56">
        <f>IFERROR(__xludf.DUMMYFUNCTION("""COMPUTED_VALUE"""),0.0)</f>
        <v>0</v>
      </c>
      <c r="H38" s="57">
        <f>IFERROR(__xludf.DUMMYFUNCTION("""COMPUTED_VALUE"""),8.3)</f>
        <v>8.3</v>
      </c>
      <c r="I38" s="58">
        <f>IFERROR(__xludf.DUMMYFUNCTION("""COMPUTED_VALUE"""),0.0)</f>
        <v>0</v>
      </c>
      <c r="J38" s="59">
        <f>IFERROR(__xludf.DUMMYFUNCTION("""COMPUTED_VALUE"""),8.0)</f>
        <v>8</v>
      </c>
      <c r="K38" s="51"/>
      <c r="L38" s="61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>
        <f>IFERROR(__xludf.DUMMYFUNCTION("""COMPUTED_VALUE"""),0.0)</f>
        <v>0</v>
      </c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IFERROR(__xludf.DUMMYFUNCTION("""COMPUTED_VALUE"""),7.5)</f>
        <v>7.5</v>
      </c>
      <c r="F40" s="55">
        <f>IFERROR(__xludf.DUMMYFUNCTION("""COMPUTED_VALUE"""),2.0)</f>
        <v>2</v>
      </c>
      <c r="G40" s="56">
        <f>IFERROR(__xludf.DUMMYFUNCTION("""COMPUTED_VALUE"""),0.0)</f>
        <v>0</v>
      </c>
      <c r="H40" s="57">
        <f>IFERROR(__xludf.DUMMYFUNCTION("""COMPUTED_VALUE"""),9.5)</f>
        <v>9.5</v>
      </c>
      <c r="I40" s="58">
        <f>IFERROR(__xludf.DUMMYFUNCTION("""COMPUTED_VALUE"""),1.0)</f>
        <v>1</v>
      </c>
      <c r="J40" s="59">
        <f>IFERROR(__xludf.DUMMYFUNCTION("""COMPUTED_VALUE"""),10.0)</f>
        <v>10</v>
      </c>
      <c r="K40" s="51"/>
      <c r="L40" s="61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IFERROR(__xludf.DUMMYFUNCTION("""COMPUTED_VALUE"""),7.2)</f>
        <v>7.2</v>
      </c>
      <c r="F41" s="55">
        <f>IFERROR(__xludf.DUMMYFUNCTION("""COMPUTED_VALUE"""),2.0)</f>
        <v>2</v>
      </c>
      <c r="G41" s="56">
        <f>IFERROR(__xludf.DUMMYFUNCTION("""COMPUTED_VALUE"""),0.0)</f>
        <v>0</v>
      </c>
      <c r="H41" s="57">
        <f>IFERROR(__xludf.DUMMYFUNCTION("""COMPUTED_VALUE"""),9.2)</f>
        <v>9.2</v>
      </c>
      <c r="I41" s="58">
        <f>IFERROR(__xludf.DUMMYFUNCTION("""COMPUTED_VALUE"""),0.0)</f>
        <v>0</v>
      </c>
      <c r="J41" s="59">
        <f>IFERROR(__xludf.DUMMYFUNCTION("""COMPUTED_VALUE"""),9.0)</f>
        <v>9</v>
      </c>
      <c r="K41" s="51"/>
      <c r="L41" s="61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IFERROR(__xludf.DUMMYFUNCTION("""COMPUTED_VALUE"""),4.3)</f>
        <v>4.3</v>
      </c>
      <c r="F42" s="55">
        <f>IFERROR(__xludf.DUMMYFUNCTION("""COMPUTED_VALUE"""),2.0)</f>
        <v>2</v>
      </c>
      <c r="G42" s="56">
        <f>IFERROR(__xludf.DUMMYFUNCTION("""COMPUTED_VALUE"""),0.0)</f>
        <v>0</v>
      </c>
      <c r="H42" s="57">
        <f>IFERROR(__xludf.DUMMYFUNCTION("""COMPUTED_VALUE"""),6.3)</f>
        <v>6.3</v>
      </c>
      <c r="I42" s="58">
        <f>IFERROR(__xludf.DUMMYFUNCTION("""COMPUTED_VALUE"""),0.0)</f>
        <v>0</v>
      </c>
      <c r="J42" s="59">
        <f>IFERROR(__xludf.DUMMYFUNCTION("""COMPUTED_VALUE"""),6.0)</f>
        <v>6</v>
      </c>
      <c r="K42" s="51"/>
      <c r="L42" s="61">
        <f>IFERROR(__xludf.DUMMYFUNCTION("""COMPUTED_VALUE"""),6.0)</f>
        <v>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IFERROR(__xludf.DUMMYFUNCTION("""COMPUTED_VALUE"""),7.1)</f>
        <v>7.1</v>
      </c>
      <c r="F43" s="55">
        <f>IFERROR(__xludf.DUMMYFUNCTION("""COMPUTED_VALUE"""),1.8)</f>
        <v>1.8</v>
      </c>
      <c r="G43" s="56">
        <f>IFERROR(__xludf.DUMMYFUNCTION("""COMPUTED_VALUE"""),1.0)</f>
        <v>1</v>
      </c>
      <c r="H43" s="57">
        <f>IFERROR(__xludf.DUMMYFUNCTION("""COMPUTED_VALUE"""),9.9)</f>
        <v>9.9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IFERROR(__xludf.DUMMYFUNCTION("""COMPUTED_VALUE"""),7.7)</f>
        <v>7.7</v>
      </c>
      <c r="F44" s="55">
        <f>IFERROR(__xludf.DUMMYFUNCTION("""COMPUTED_VALUE"""),2.0)</f>
        <v>2</v>
      </c>
      <c r="G44" s="56">
        <f>IFERROR(__xludf.DUMMYFUNCTION("""COMPUTED_VALUE"""),0.0)</f>
        <v>0</v>
      </c>
      <c r="H44" s="57">
        <f>IFERROR(__xludf.DUMMYFUNCTION("""COMPUTED_VALUE"""),9.7)</f>
        <v>9.7</v>
      </c>
      <c r="I44" s="58">
        <f>IFERROR(__xludf.DUMMYFUNCTION("""COMPUTED_VALUE"""),1.0)</f>
        <v>1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IFERROR(__xludf.DUMMYFUNCTION("""COMPUTED_VALUE"""),6.1)</f>
        <v>6.1</v>
      </c>
      <c r="F45" s="55">
        <f>IFERROR(__xludf.DUMMYFUNCTION("""COMPUTED_VALUE"""),2.0)</f>
        <v>2</v>
      </c>
      <c r="G45" s="56">
        <f>IFERROR(__xludf.DUMMYFUNCTION("""COMPUTED_VALUE"""),0.0)</f>
        <v>0</v>
      </c>
      <c r="H45" s="57">
        <f>IFERROR(__xludf.DUMMYFUNCTION("""COMPUTED_VALUE"""),8.1)</f>
        <v>8.1</v>
      </c>
      <c r="I45" s="58">
        <f>IFERROR(__xludf.DUMMYFUNCTION("""COMPUTED_VALUE"""),0.0)</f>
        <v>0</v>
      </c>
      <c r="J45" s="59">
        <f>IFERROR(__xludf.DUMMYFUNCTION("""COMPUTED_VALUE"""),8.0)</f>
        <v>8</v>
      </c>
      <c r="K45" s="51"/>
      <c r="L45" s="61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IFERROR(__xludf.DUMMYFUNCTION("""COMPUTED_VALUE"""),7.3)</f>
        <v>7.3</v>
      </c>
      <c r="F46" s="55">
        <f>IFERROR(__xludf.DUMMYFUNCTION("""COMPUTED_VALUE"""),0.0)</f>
        <v>0</v>
      </c>
      <c r="G46" s="56">
        <f>IFERROR(__xludf.DUMMYFUNCTION("""COMPUTED_VALUE"""),0.0)</f>
        <v>0</v>
      </c>
      <c r="H46" s="57">
        <f>IFERROR(__xludf.DUMMYFUNCTION("""COMPUTED_VALUE"""),7.3)</f>
        <v>7.3</v>
      </c>
      <c r="I46" s="58">
        <f>IFERROR(__xludf.DUMMYFUNCTION("""COMPUTED_VALUE"""),0.0)</f>
        <v>0</v>
      </c>
      <c r="J46" s="59">
        <f>IFERROR(__xludf.DUMMYFUNCTION("""COMPUTED_VALUE"""),7.0)</f>
        <v>7</v>
      </c>
      <c r="K46" s="51"/>
      <c r="L46" s="61">
        <f>IFERROR(__xludf.DUMMYFUNCTION("""COMPUTED_VALUE"""),7.0)</f>
        <v>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>
        <f>IFERROR(__xludf.DUMMYFUNCTION("""COMPUTED_VALUE"""),1.0)</f>
        <v>1</v>
      </c>
      <c r="H47" s="57">
        <f>IFERROR(__xludf.DUMMYFUNCTION("""COMPUTED_VALUE"""),11.0)</f>
        <v>11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IFERROR(__xludf.DUMMYFUNCTION("""COMPUTED_VALUE"""),11.0)</f>
        <v>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>
        <f>IFERROR(__xludf.DUMMYFUNCTION("""COMPUTED_VALUE"""),1.0)</f>
        <v>1</v>
      </c>
      <c r="H48" s="57">
        <f>IFERROR(__xludf.DUMMYFUNCTION("""COMPUTED_VALUE"""),11.0)</f>
        <v>11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IFERROR(__xludf.DUMMYFUNCTION("""COMPUTED_VALUE"""),4.1)</f>
        <v>4.1</v>
      </c>
      <c r="F49" s="55">
        <f>IFERROR(__xludf.DUMMYFUNCTION("""COMPUTED_VALUE"""),2.0)</f>
        <v>2</v>
      </c>
      <c r="G49" s="56">
        <f>IFERROR(__xludf.DUMMYFUNCTION("""COMPUTED_VALUE"""),0.0)</f>
        <v>0</v>
      </c>
      <c r="H49" s="57">
        <f>IFERROR(__xludf.DUMMYFUNCTION("""COMPUTED_VALUE"""),6.1)</f>
        <v>6.1</v>
      </c>
      <c r="I49" s="58">
        <f>IFERROR(__xludf.DUMMYFUNCTION("""COMPUTED_VALUE"""),0.0)</f>
        <v>0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IFERROR(__xludf.DUMMYFUNCTION("""COMPUTED_VALUE"""),7.7)</f>
        <v>7.7</v>
      </c>
      <c r="F50" s="55">
        <f>IFERROR(__xludf.DUMMYFUNCTION("""COMPUTED_VALUE"""),2.0)</f>
        <v>2</v>
      </c>
      <c r="G50" s="56">
        <f>IFERROR(__xludf.DUMMYFUNCTION("""COMPUTED_VALUE"""),0.0)</f>
        <v>0</v>
      </c>
      <c r="H50" s="57">
        <f>IFERROR(__xludf.DUMMYFUNCTION("""COMPUTED_VALUE"""),9.7)</f>
        <v>9.7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IFERROR(__xludf.DUMMYFUNCTION("""COMPUTED_VALUE"""),8.0)</f>
        <v>8</v>
      </c>
      <c r="F51" s="55">
        <f>IFERROR(__xludf.DUMMYFUNCTION("""COMPUTED_VALUE"""),2.0)</f>
        <v>2</v>
      </c>
      <c r="G51" s="56">
        <f>IFERROR(__xludf.DUMMYFUNCTION("""COMPUTED_VALUE"""),0.0)</f>
        <v>0</v>
      </c>
      <c r="H51" s="57">
        <f>IFERROR(__xludf.DUMMYFUNCTION("""COMPUTED_VALUE"""),10.0)</f>
        <v>10</v>
      </c>
      <c r="I51" s="58">
        <f>IFERROR(__xludf.DUMMYFUNCTION("""COMPUTED_VALUE"""),0.0)</f>
        <v>0</v>
      </c>
      <c r="J51" s="59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IFERROR(__xludf.DUMMYFUNCTION("""COMPUTED_VALUE"""),6.8)</f>
        <v>6.8</v>
      </c>
      <c r="F52" s="55">
        <f>IFERROR(__xludf.DUMMYFUNCTION("""COMPUTED_VALUE"""),2.0)</f>
        <v>2</v>
      </c>
      <c r="G52" s="56">
        <f>IFERROR(__xludf.DUMMYFUNCTION("""COMPUTED_VALUE"""),0.0)</f>
        <v>0</v>
      </c>
      <c r="H52" s="57">
        <f>IFERROR(__xludf.DUMMYFUNCTION("""COMPUTED_VALUE"""),8.8)</f>
        <v>8.8</v>
      </c>
      <c r="I52" s="58">
        <f>IFERROR(__xludf.DUMMYFUNCTION("""COMPUTED_VALUE"""),0.0)</f>
        <v>0</v>
      </c>
      <c r="J52" s="59">
        <f>IFERROR(__xludf.DUMMYFUNCTION("""COMPUTED_VALUE"""),9.0)</f>
        <v>9</v>
      </c>
      <c r="K52" s="51"/>
      <c r="L52" s="60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IFERROR(__xludf.DUMMYFUNCTION("""COMPUTED_VALUE"""),6.0)</f>
        <v>6</v>
      </c>
      <c r="F53" s="55">
        <f>IFERROR(__xludf.DUMMYFUNCTION("""COMPUTED_VALUE"""),1.8)</f>
        <v>1.8</v>
      </c>
      <c r="G53" s="56">
        <f>IFERROR(__xludf.DUMMYFUNCTION("""COMPUTED_VALUE"""),0.0)</f>
        <v>0</v>
      </c>
      <c r="H53" s="57">
        <f>IFERROR(__xludf.DUMMYFUNCTION("""COMPUTED_VALUE"""),7.8)</f>
        <v>7.8</v>
      </c>
      <c r="I53" s="58">
        <f>IFERROR(__xludf.DUMMYFUNCTION("""COMPUTED_VALUE"""),1.0)</f>
        <v>1</v>
      </c>
      <c r="J53" s="59">
        <f>IFERROR(__xludf.DUMMYFUNCTION("""COMPUTED_VALUE"""),8.0)</f>
        <v>8</v>
      </c>
      <c r="K53" s="51"/>
      <c r="L53" s="60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>
        <f>IFERROR(__xludf.DUMMYFUNCTION("""COMPUTED_VALUE"""),0.0)</f>
        <v>0</v>
      </c>
      <c r="H54" s="57">
        <f>IFERROR(__xludf.DUMMYFUNCTION("""COMPUTED_VALUE"""),10.0)</f>
        <v>10</v>
      </c>
      <c r="I54" s="6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>
        <f>IFERROR(__xludf.DUMMYFUNCTION("""COMPUTED_VALUE"""),0.0)</f>
        <v>0</v>
      </c>
      <c r="H55" s="57">
        <f>IFERROR(__xludf.DUMMYFUNCTION("""COMPUTED_VALUE"""),10.0)</f>
        <v>10</v>
      </c>
      <c r="I55" s="68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IFERROR(__xludf.DUMMYFUNCTION("""COMPUTED_VALUE"""),7.3)</f>
        <v>7.3</v>
      </c>
      <c r="F56" s="55">
        <f>IFERROR(__xludf.DUMMYFUNCTION("""COMPUTED_VALUE"""),2.0)</f>
        <v>2</v>
      </c>
      <c r="G56" s="56">
        <f>IFERROR(__xludf.DUMMYFUNCTION("""COMPUTED_VALUE"""),1.0)</f>
        <v>1</v>
      </c>
      <c r="H56" s="57">
        <f>IFERROR(__xludf.DUMMYFUNCTION("""COMPUTED_VALUE"""),10.3)</f>
        <v>10.3</v>
      </c>
      <c r="I56" s="68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IFERROR(__xludf.DUMMYFUNCTION("""COMPUTED_VALUE"""),7.6)</f>
        <v>7.6</v>
      </c>
      <c r="F57" s="55">
        <f>IFERROR(__xludf.DUMMYFUNCTION("""COMPUTED_VALUE"""),2.0)</f>
        <v>2</v>
      </c>
      <c r="G57" s="56">
        <f>IFERROR(__xludf.DUMMYFUNCTION("""COMPUTED_VALUE"""),0.0)</f>
        <v>0</v>
      </c>
      <c r="H57" s="57">
        <f>IFERROR(__xludf.DUMMYFUNCTION("""COMPUTED_VALUE"""),9.6)</f>
        <v>9.6</v>
      </c>
      <c r="I57" s="68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IFERROR(__xludf.DUMMYFUNCTION("""COMPUTED_VALUE"""),7.3)</f>
        <v>7.3</v>
      </c>
      <c r="F58" s="55">
        <f>IFERROR(__xludf.DUMMYFUNCTION("""COMPUTED_VALUE"""),2.0)</f>
        <v>2</v>
      </c>
      <c r="G58" s="56">
        <f>IFERROR(__xludf.DUMMYFUNCTION("""COMPUTED_VALUE"""),0.0)</f>
        <v>0</v>
      </c>
      <c r="H58" s="57">
        <f>IFERROR(__xludf.DUMMYFUNCTION("""COMPUTED_VALUE"""),9.3)</f>
        <v>9.3</v>
      </c>
      <c r="I58" s="68">
        <f>IFERROR(__xludf.DUMMYFUNCTION("""COMPUTED_VALUE"""),0.0)</f>
        <v>0</v>
      </c>
      <c r="J58" s="59">
        <f>IFERROR(__xludf.DUMMYFUNCTION("""COMPUTED_VALUE"""),9.0)</f>
        <v>9</v>
      </c>
      <c r="K58" s="51"/>
      <c r="L58" s="60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IFERROR(__xludf.DUMMYFUNCTION("""COMPUTED_VALUE"""),7.3)</f>
        <v>7.3</v>
      </c>
      <c r="F59" s="55">
        <f>IFERROR(__xludf.DUMMYFUNCTION("""COMPUTED_VALUE"""),2.0)</f>
        <v>2</v>
      </c>
      <c r="G59" s="56">
        <f>IFERROR(__xludf.DUMMYFUNCTION("""COMPUTED_VALUE"""),0.0)</f>
        <v>0</v>
      </c>
      <c r="H59" s="57">
        <f>IFERROR(__xludf.DUMMYFUNCTION("""COMPUTED_VALUE"""),9.3)</f>
        <v>9.3</v>
      </c>
      <c r="I59" s="68">
        <f>IFERROR(__xludf.DUMMYFUNCTION("""COMPUTED_VALUE"""),0.0)</f>
        <v>0</v>
      </c>
      <c r="J59" s="59">
        <f>IFERROR(__xludf.DUMMYFUNCTION("""COMPUTED_VALUE"""),9.0)</f>
        <v>9</v>
      </c>
      <c r="K59" s="51"/>
      <c r="L59" s="60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IFERROR(__xludf.DUMMYFUNCTION("""COMPUTED_VALUE"""),7.7)</f>
        <v>7.7</v>
      </c>
      <c r="F60" s="55">
        <f>IFERROR(__xludf.DUMMYFUNCTION("""COMPUTED_VALUE"""),2.0)</f>
        <v>2</v>
      </c>
      <c r="G60" s="56">
        <f>IFERROR(__xludf.DUMMYFUNCTION("""COMPUTED_VALUE"""),0.0)</f>
        <v>0</v>
      </c>
      <c r="H60" s="57">
        <f>IFERROR(__xludf.DUMMYFUNCTION("""COMPUTED_VALUE"""),9.7)</f>
        <v>9.7</v>
      </c>
      <c r="I60" s="68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IFERROR(__xludf.DUMMYFUNCTION("""COMPUTED_VALUE"""),5.9)</f>
        <v>5.9</v>
      </c>
      <c r="F61" s="55">
        <f>IFERROR(__xludf.DUMMYFUNCTION("""COMPUTED_VALUE"""),2.0)</f>
        <v>2</v>
      </c>
      <c r="G61" s="56">
        <f>IFERROR(__xludf.DUMMYFUNCTION("""COMPUTED_VALUE"""),0.0)</f>
        <v>0</v>
      </c>
      <c r="H61" s="57">
        <f>IFERROR(__xludf.DUMMYFUNCTION("""COMPUTED_VALUE"""),7.9)</f>
        <v>7.9</v>
      </c>
      <c r="I61" s="68">
        <f>IFERROR(__xludf.DUMMYFUNCTION("""COMPUTED_VALUE"""),0.0)</f>
        <v>0</v>
      </c>
      <c r="J61" s="59">
        <f>IFERROR(__xludf.DUMMYFUNCTION("""COMPUTED_VALUE"""),8.0)</f>
        <v>8</v>
      </c>
      <c r="K61" s="51"/>
      <c r="L61" s="60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IFERROR(__xludf.DUMMYFUNCTION("""COMPUTED_VALUE"""),11.0)</f>
        <v>11</v>
      </c>
      <c r="I62" s="68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IFERROR(__xludf.DUMMYFUNCTION("""COMPUTED_VALUE"""),11.0)</f>
        <v>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IFERROR(__xludf.DUMMYFUNCTION("""COMPUTED_VALUE"""),6.7)</f>
        <v>6.7</v>
      </c>
      <c r="F63" s="55">
        <f>IFERROR(__xludf.DUMMYFUNCTION("""COMPUTED_VALUE"""),2.0)</f>
        <v>2</v>
      </c>
      <c r="G63" s="56">
        <f>IFERROR(__xludf.DUMMYFUNCTION("""COMPUTED_VALUE"""),0.0)</f>
        <v>0</v>
      </c>
      <c r="H63" s="57">
        <f>IFERROR(__xludf.DUMMYFUNCTION("""COMPUTED_VALUE"""),8.7)</f>
        <v>8.7</v>
      </c>
      <c r="I63" s="68">
        <f>IFERROR(__xludf.DUMMYFUNCTION("""COMPUTED_VALUE"""),0.0)</f>
        <v>0</v>
      </c>
      <c r="J63" s="59">
        <f>IFERROR(__xludf.DUMMYFUNCTION("""COMPUTED_VALUE"""),9.0)</f>
        <v>9</v>
      </c>
      <c r="K63" s="51"/>
      <c r="L63" s="60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118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119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8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IFERROR(__xludf.DUMMYFUNCTION("""COMPUTED_VALUE"""),44.0)</f>
        <v>44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IFERROR(__xludf.DUMMYFUNCTION("""COMPUTED_VALUE"""),3.0)</f>
        <v>3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IFERROR(__xludf.DUMMYFUNCTION("""COMPUTED_VALUE"""),93.61702127659575)</f>
        <v>93.61702128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IFERROR(__xludf.DUMMYFUNCTION("""COMPUTED_VALUE"""),9.0)</f>
        <v>9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IFERROR(__xludf.DUMMYFUNCTION("IMPORTRANGE(""https://docs.google.com/spreadsheets/d/1IwheF3XSbLmldt4Se6BnSq7f8DRFJ3O-aN_RpWWG9kE/edit?gid=868681460#gid=868681460"",""2-1 reacciones quimicas y conservacion de la mater!a1:q86"")"),"")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20" t="str">
        <f>IFERROR(__xludf.DUMMYFUNCTION("""COMPUTED_VALUE"""),"OLIVIA PEÑA RAMÍREZ")</f>
        <v>OLIVIA PEÑA RAMÍREZ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IFERROR(__xludf.DUMMYFUNCTION("""COMPUTED_VALUE"""),"REACCIONES QUÍMICAS Y CONSERVACIÓN DE LA MATERIA")</f>
        <v>REACCIONES QUÍMICAS Y CONSERVACIÓN DE LA MATERIA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IFERROR(__xludf.DUMMYFUNCTION("""COMPUTED_VALUE"""),5.0)</f>
        <v>5</v>
      </c>
      <c r="F17" s="55">
        <f>IFERROR(__xludf.DUMMYFUNCTION("""COMPUTED_VALUE"""),1.0)</f>
        <v>1</v>
      </c>
      <c r="G17" s="56">
        <f>IFERROR(__xludf.DUMMYFUNCTION("""COMPUTED_VALUE"""),0.5)</f>
        <v>0.5</v>
      </c>
      <c r="H17" s="57">
        <f>IFERROR(__xludf.DUMMYFUNCTION("""COMPUTED_VALUE"""),6.5)</f>
        <v>6.5</v>
      </c>
      <c r="I17" s="58">
        <f>IFERROR(__xludf.DUMMYFUNCTION("""COMPUTED_VALUE"""),0.0)</f>
        <v>0</v>
      </c>
      <c r="J17" s="59">
        <f>IFERROR(__xludf.DUMMYFUNCTION("""COMPUTED_VALUE"""),7.0)</f>
        <v>7</v>
      </c>
      <c r="K17" s="60"/>
      <c r="L17" s="61">
        <f>IFERROR(__xludf.DUMMYFUNCTION("""COMPUTED_VALUE"""),7.0)</f>
        <v>7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IFERROR(__xludf.DUMMYFUNCTION("""COMPUTED_VALUE"""),5.0)</f>
        <v>5</v>
      </c>
      <c r="F18" s="55">
        <f>IFERROR(__xludf.DUMMYFUNCTION("""COMPUTED_VALUE"""),1.0)</f>
        <v>1</v>
      </c>
      <c r="G18" s="56"/>
      <c r="H18" s="57">
        <f>IFERROR(__xludf.DUMMYFUNCTION("""COMPUTED_VALUE"""),6.0)</f>
        <v>6</v>
      </c>
      <c r="I18" s="58">
        <f>IFERROR(__xludf.DUMMYFUNCTION("""COMPUTED_VALUE"""),1.0)</f>
        <v>1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IFERROR(__xludf.DUMMYFUNCTION("""COMPUTED_VALUE"""),4.8)</f>
        <v>4.8</v>
      </c>
      <c r="F19" s="55">
        <f>IFERROR(__xludf.DUMMYFUNCTION("""COMPUTED_VALUE"""),1.2)</f>
        <v>1.2</v>
      </c>
      <c r="G19" s="56"/>
      <c r="H19" s="57">
        <f>IFERROR(__xludf.DUMMYFUNCTION("""COMPUTED_VALUE"""),6.0)</f>
        <v>6</v>
      </c>
      <c r="I19" s="58">
        <f>IFERROR(__xludf.DUMMYFUNCTION("""COMPUTED_VALUE"""),1.0)</f>
        <v>1</v>
      </c>
      <c r="J19" s="59">
        <f>IFERROR(__xludf.DUMMYFUNCTION("""COMPUTED_VALUE"""),6.0)</f>
        <v>6</v>
      </c>
      <c r="K19" s="51"/>
      <c r="L19" s="61">
        <f>IFERROR(__xludf.DUMMYFUNCTION("""COMPUTED_VALUE"""),6.0)</f>
        <v>6</v>
      </c>
      <c r="M19" s="1" t="str">
        <f>IFERROR(__xludf.DUMMYFUNCTION("""COMPUTED_VALUE"""),"Marzo")</f>
        <v>Marzo</v>
      </c>
      <c r="N19" s="1">
        <f>IFERROR(__xludf.DUMMYFUNCTION("""COMPUTED_VALUE"""),15.0)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IFERROR(__xludf.DUMMYFUNCTION("""COMPUTED_VALUE"""),4.5)</f>
        <v>4.5</v>
      </c>
      <c r="F20" s="55">
        <f>IFERROR(__xludf.DUMMYFUNCTION("""COMPUTED_VALUE"""),1.6)</f>
        <v>1.6</v>
      </c>
      <c r="G20" s="56">
        <f>IFERROR(__xludf.DUMMYFUNCTION("""COMPUTED_VALUE"""),1.0)</f>
        <v>1</v>
      </c>
      <c r="H20" s="57">
        <f>IFERROR(__xludf.DUMMYFUNCTION("""COMPUTED_VALUE"""),7.1)</f>
        <v>7.1</v>
      </c>
      <c r="I20" s="58">
        <f>IFERROR(__xludf.DUMMYFUNCTION("""COMPUTED_VALUE"""),2.0)</f>
        <v>2</v>
      </c>
      <c r="J20" s="59">
        <f>IFERROR(__xludf.DUMMYFUNCTION("""COMPUTED_VALUE"""),7.0)</f>
        <v>7</v>
      </c>
      <c r="K20" s="51"/>
      <c r="L20" s="61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IFERROR(__xludf.DUMMYFUNCTION("""COMPUTED_VALUE"""),5.4)</f>
        <v>5.4</v>
      </c>
      <c r="F21" s="55">
        <f>IFERROR(__xludf.DUMMYFUNCTION("""COMPUTED_VALUE"""),1.4)</f>
        <v>1.4</v>
      </c>
      <c r="G21" s="56"/>
      <c r="H21" s="57">
        <f>IFERROR(__xludf.DUMMYFUNCTION("""COMPUTED_VALUE"""),6.800000000000001)</f>
        <v>6.8</v>
      </c>
      <c r="I21" s="58">
        <f>IFERROR(__xludf.DUMMYFUNCTION("""COMPUTED_VALUE"""),0.0)</f>
        <v>0</v>
      </c>
      <c r="J21" s="59">
        <f>IFERROR(__xludf.DUMMYFUNCTION("""COMPUTED_VALUE"""),7.0)</f>
        <v>7</v>
      </c>
      <c r="K21" s="51"/>
      <c r="L21" s="61">
        <f>IFERROR(__xludf.DUMMYFUNCTION("""COMPUTED_VALUE"""),7.0)</f>
        <v>7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IFERROR(__xludf.DUMMYFUNCTION("""COMPUTED_VALUE"""),5.5)</f>
        <v>5.5</v>
      </c>
      <c r="F22" s="55">
        <f>IFERROR(__xludf.DUMMYFUNCTION("""COMPUTED_VALUE"""),1.6)</f>
        <v>1.6</v>
      </c>
      <c r="G22" s="56"/>
      <c r="H22" s="57">
        <f>IFERROR(__xludf.DUMMYFUNCTION("""COMPUTED_VALUE"""),7.1)</f>
        <v>7.1</v>
      </c>
      <c r="I22" s="58">
        <f>IFERROR(__xludf.DUMMYFUNCTION("""COMPUTED_VALUE"""),2.0)</f>
        <v>2</v>
      </c>
      <c r="J22" s="59">
        <f>IFERROR(__xludf.DUMMYFUNCTION("""COMPUTED_VALUE"""),7.0)</f>
        <v>7</v>
      </c>
      <c r="K22" s="51"/>
      <c r="L22" s="61">
        <f>IFERROR(__xludf.DUMMYFUNCTION("""COMPUTED_VALUE"""),7.0)</f>
        <v>7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IFERROR(__xludf.DUMMYFUNCTION("""COMPUTED_VALUE"""),2.5)</f>
        <v>2.5</v>
      </c>
      <c r="F23" s="55">
        <f>IFERROR(__xludf.DUMMYFUNCTION("""COMPUTED_VALUE"""),0.8)</f>
        <v>0.8</v>
      </c>
      <c r="G23" s="56"/>
      <c r="H23" s="57">
        <f>IFERROR(__xludf.DUMMYFUNCTION("""COMPUTED_VALUE"""),3.3)</f>
        <v>3.3</v>
      </c>
      <c r="I23" s="58">
        <f>IFERROR(__xludf.DUMMYFUNCTION("""COMPUTED_VALUE"""),1.0)</f>
        <v>1</v>
      </c>
      <c r="J23" s="59">
        <f>IFERROR(__xludf.DUMMYFUNCTION("""COMPUTED_VALUE"""),5.0)</f>
        <v>5</v>
      </c>
      <c r="K23" s="51"/>
      <c r="L23" s="61">
        <f>IFERROR(__xludf.DUMMYFUNCTION("""COMPUTED_VALUE"""),3.0)</f>
        <v>3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IFERROR(__xludf.DUMMYFUNCTION("""COMPUTED_VALUE"""),6.0)</f>
        <v>6</v>
      </c>
      <c r="F24" s="55">
        <f>IFERROR(__xludf.DUMMYFUNCTION("""COMPUTED_VALUE"""),1.2)</f>
        <v>1.2</v>
      </c>
      <c r="G24" s="56"/>
      <c r="H24" s="57">
        <f>IFERROR(__xludf.DUMMYFUNCTION("""COMPUTED_VALUE"""),7.2)</f>
        <v>7.2</v>
      </c>
      <c r="I24" s="58">
        <f>IFERROR(__xludf.DUMMYFUNCTION("""COMPUTED_VALUE"""),0.0)</f>
        <v>0</v>
      </c>
      <c r="J24" s="59">
        <f>IFERROR(__xludf.DUMMYFUNCTION("""COMPUTED_VALUE"""),7.0)</f>
        <v>7</v>
      </c>
      <c r="K24" s="51"/>
      <c r="L24" s="61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IFERROR(__xludf.DUMMYFUNCTION("""COMPUTED_VALUE"""),27.0)</f>
        <v>27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IFERROR(__xludf.DUMMYFUNCTION("""COMPUTED_VALUE"""),5.1)</f>
        <v>5.1</v>
      </c>
      <c r="F25" s="55">
        <f>IFERROR(__xludf.DUMMYFUNCTION("""COMPUTED_VALUE"""),1.8)</f>
        <v>1.8</v>
      </c>
      <c r="G25" s="56"/>
      <c r="H25" s="57">
        <f>IFERROR(__xludf.DUMMYFUNCTION("""COMPUTED_VALUE"""),6.8999999999999995)</f>
        <v>6.9</v>
      </c>
      <c r="I25" s="58">
        <f>IFERROR(__xludf.DUMMYFUNCTION("""COMPUTED_VALUE"""),0.0)</f>
        <v>0</v>
      </c>
      <c r="J25" s="59">
        <f>IFERROR(__xludf.DUMMYFUNCTION("""COMPUTED_VALUE"""),7.0)</f>
        <v>7</v>
      </c>
      <c r="K25" s="51"/>
      <c r="L25" s="61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IFERROR(__xludf.DUMMYFUNCTION("""COMPUTED_VALUE"""),5.0)</f>
        <v>5</v>
      </c>
      <c r="F26" s="55">
        <f>IFERROR(__xludf.DUMMYFUNCTION("""COMPUTED_VALUE"""),1.2)</f>
        <v>1.2</v>
      </c>
      <c r="G26" s="56">
        <f>IFERROR(__xludf.DUMMYFUNCTION("""COMPUTED_VALUE"""),0.5)</f>
        <v>0.5</v>
      </c>
      <c r="H26" s="57">
        <f>IFERROR(__xludf.DUMMYFUNCTION("""COMPUTED_VALUE"""),6.7)</f>
        <v>6.7</v>
      </c>
      <c r="I26" s="58">
        <f>IFERROR(__xludf.DUMMYFUNCTION("""COMPUTED_VALUE"""),1.0)</f>
        <v>1</v>
      </c>
      <c r="J26" s="59">
        <f>IFERROR(__xludf.DUMMYFUNCTION("""COMPUTED_VALUE"""),7.0)</f>
        <v>7</v>
      </c>
      <c r="K26" s="51"/>
      <c r="L26" s="61">
        <f>IFERROR(__xludf.DUMMYFUNCTION("""COMPUTED_VALUE"""),7.0)</f>
        <v>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IFERROR(__xludf.DUMMYFUNCTION("""COMPUTED_VALUE"""),4.6)</f>
        <v>4.6</v>
      </c>
      <c r="F27" s="55">
        <f>IFERROR(__xludf.DUMMYFUNCTION("""COMPUTED_VALUE"""),1.2)</f>
        <v>1.2</v>
      </c>
      <c r="G27" s="56"/>
      <c r="H27" s="57">
        <f>IFERROR(__xludf.DUMMYFUNCTION("""COMPUTED_VALUE"""),5.8)</f>
        <v>5.8</v>
      </c>
      <c r="I27" s="58">
        <f>IFERROR(__xludf.DUMMYFUNCTION("""COMPUTED_VALUE"""),0.0)</f>
        <v>0</v>
      </c>
      <c r="J27" s="59">
        <f>IFERROR(__xludf.DUMMYFUNCTION("""COMPUTED_VALUE"""),5.0)</f>
        <v>5</v>
      </c>
      <c r="K27" s="51"/>
      <c r="L27" s="61">
        <f>IFERROR(__xludf.DUMMYFUNCTION("""COMPUTED_VALUE"""),5.0)</f>
        <v>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IFERROR(__xludf.DUMMYFUNCTION("""COMPUTED_VALUE"""),4.7)</f>
        <v>4.7</v>
      </c>
      <c r="F28" s="55">
        <f>IFERROR(__xludf.DUMMYFUNCTION("""COMPUTED_VALUE"""),1.6)</f>
        <v>1.6</v>
      </c>
      <c r="G28" s="56"/>
      <c r="H28" s="57">
        <f>IFERROR(__xludf.DUMMYFUNCTION("""COMPUTED_VALUE"""),6.300000000000001)</f>
        <v>6.3</v>
      </c>
      <c r="I28" s="58">
        <f>IFERROR(__xludf.DUMMYFUNCTION("""COMPUTED_VALUE"""),0.0)</f>
        <v>0</v>
      </c>
      <c r="J28" s="59">
        <f>IFERROR(__xludf.DUMMYFUNCTION("""COMPUTED_VALUE"""),6.0)</f>
        <v>6</v>
      </c>
      <c r="K28" s="51"/>
      <c r="L28" s="61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IFERROR(__xludf.DUMMYFUNCTION("""COMPUTED_VALUE"""),4.7)</f>
        <v>4.7</v>
      </c>
      <c r="F29" s="55">
        <f>IFERROR(__xludf.DUMMYFUNCTION("""COMPUTED_VALUE"""),0.8)</f>
        <v>0.8</v>
      </c>
      <c r="G29" s="56"/>
      <c r="H29" s="57">
        <f>IFERROR(__xludf.DUMMYFUNCTION("""COMPUTED_VALUE"""),5.5)</f>
        <v>5.5</v>
      </c>
      <c r="I29" s="58">
        <f>IFERROR(__xludf.DUMMYFUNCTION("""COMPUTED_VALUE"""),1.0)</f>
        <v>1</v>
      </c>
      <c r="J29" s="59">
        <f>IFERROR(__xludf.DUMMYFUNCTION("""COMPUTED_VALUE"""),5.0)</f>
        <v>5</v>
      </c>
      <c r="K29" s="51"/>
      <c r="L29" s="61">
        <f>IFERROR(__xludf.DUMMYFUNCTION("""COMPUTED_VALUE"""),5.0)</f>
        <v>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IFERROR(__xludf.DUMMYFUNCTION("""COMPUTED_VALUE"""),3.3)</f>
        <v>3.3</v>
      </c>
      <c r="F30" s="55">
        <f>IFERROR(__xludf.DUMMYFUNCTION("""COMPUTED_VALUE"""),1.2)</f>
        <v>1.2</v>
      </c>
      <c r="G30" s="56">
        <f>IFERROR(__xludf.DUMMYFUNCTION("""COMPUTED_VALUE"""),0.5)</f>
        <v>0.5</v>
      </c>
      <c r="H30" s="57">
        <f>IFERROR(__xludf.DUMMYFUNCTION("""COMPUTED_VALUE"""),5.0)</f>
        <v>5</v>
      </c>
      <c r="I30" s="58">
        <f>IFERROR(__xludf.DUMMYFUNCTION("""COMPUTED_VALUE"""),0.0)</f>
        <v>0</v>
      </c>
      <c r="J30" s="59">
        <f>IFERROR(__xludf.DUMMYFUNCTION("""COMPUTED_VALUE"""),5.0)</f>
        <v>5</v>
      </c>
      <c r="K30" s="51"/>
      <c r="L30" s="61">
        <f>IFERROR(__xludf.DUMMYFUNCTION("""COMPUTED_VALUE"""),5.0)</f>
        <v>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IFERROR(__xludf.DUMMYFUNCTION("""COMPUTED_VALUE"""),7.0)</f>
        <v>7</v>
      </c>
      <c r="F31" s="55">
        <f>IFERROR(__xludf.DUMMYFUNCTION("""COMPUTED_VALUE"""),2.0)</f>
        <v>2</v>
      </c>
      <c r="G31" s="56">
        <f>IFERROR(__xludf.DUMMYFUNCTION("""COMPUTED_VALUE"""),1.0)</f>
        <v>1</v>
      </c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IFERROR(__xludf.DUMMYFUNCTION("""COMPUTED_VALUE"""),4.2)</f>
        <v>4.2</v>
      </c>
      <c r="F32" s="55">
        <f>IFERROR(__xludf.DUMMYFUNCTION("""COMPUTED_VALUE"""),0.6)</f>
        <v>0.6</v>
      </c>
      <c r="G32" s="56"/>
      <c r="H32" s="57">
        <f>IFERROR(__xludf.DUMMYFUNCTION("""COMPUTED_VALUE"""),4.8)</f>
        <v>4.8</v>
      </c>
      <c r="I32" s="58">
        <f>IFERROR(__xludf.DUMMYFUNCTION("""COMPUTED_VALUE"""),0.0)</f>
        <v>0</v>
      </c>
      <c r="J32" s="59">
        <f>IFERROR(__xludf.DUMMYFUNCTION("""COMPUTED_VALUE"""),5.0)</f>
        <v>5</v>
      </c>
      <c r="K32" s="51"/>
      <c r="L32" s="61">
        <f>IFERROR(__xludf.DUMMYFUNCTION("""COMPUTED_VALUE"""),4.0)</f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IFERROR(__xludf.DUMMYFUNCTION("""COMPUTED_VALUE"""),6.0)</f>
        <v>6</v>
      </c>
      <c r="F33" s="55">
        <f>IFERROR(__xludf.DUMMYFUNCTION("""COMPUTED_VALUE"""),2.0)</f>
        <v>2</v>
      </c>
      <c r="G33" s="56">
        <f>IFERROR(__xludf.DUMMYFUNCTION("""COMPUTED_VALUE"""),1.0)</f>
        <v>1</v>
      </c>
      <c r="H33" s="57">
        <f>IFERROR(__xludf.DUMMYFUNCTION("""COMPUTED_VALUE"""),9.0)</f>
        <v>9</v>
      </c>
      <c r="I33" s="58">
        <f>IFERROR(__xludf.DUMMYFUNCTION("""COMPUTED_VALUE"""),2.0)</f>
        <v>2</v>
      </c>
      <c r="J33" s="59">
        <f>IFERROR(__xludf.DUMMYFUNCTION("""COMPUTED_VALUE"""),9.0)</f>
        <v>9</v>
      </c>
      <c r="K33" s="51"/>
      <c r="L33" s="61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IFERROR(__xludf.DUMMYFUNCTION("""COMPUTED_VALUE"""),4.1)</f>
        <v>4.1</v>
      </c>
      <c r="F34" s="55">
        <f>IFERROR(__xludf.DUMMYFUNCTION("""COMPUTED_VALUE"""),1.0)</f>
        <v>1</v>
      </c>
      <c r="G34" s="56"/>
      <c r="H34" s="57">
        <f>IFERROR(__xludf.DUMMYFUNCTION("""COMPUTED_VALUE"""),5.1)</f>
        <v>5.1</v>
      </c>
      <c r="I34" s="58">
        <f>IFERROR(__xludf.DUMMYFUNCTION("""COMPUTED_VALUE"""),0.0)</f>
        <v>0</v>
      </c>
      <c r="J34" s="59">
        <f>IFERROR(__xludf.DUMMYFUNCTION("""COMPUTED_VALUE"""),5.0)</f>
        <v>5</v>
      </c>
      <c r="K34" s="51"/>
      <c r="L34" s="61">
        <f>IFERROR(__xludf.DUMMYFUNCTION("""COMPUTED_VALUE"""),5.0)</f>
        <v>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IFERROR(__xludf.DUMMYFUNCTION("""COMPUTED_VALUE"""),5.4)</f>
        <v>5.4</v>
      </c>
      <c r="F35" s="55">
        <f>IFERROR(__xludf.DUMMYFUNCTION("""COMPUTED_VALUE"""),1.6)</f>
        <v>1.6</v>
      </c>
      <c r="G35" s="56">
        <f>IFERROR(__xludf.DUMMYFUNCTION("""COMPUTED_VALUE"""),1.0)</f>
        <v>1</v>
      </c>
      <c r="H35" s="57">
        <f>IFERROR(__xludf.DUMMYFUNCTION("""COMPUTED_VALUE"""),8.0)</f>
        <v>8</v>
      </c>
      <c r="I35" s="58">
        <f>IFERROR(__xludf.DUMMYFUNCTION("""COMPUTED_VALUE"""),0.0)</f>
        <v>0</v>
      </c>
      <c r="J35" s="59">
        <f>IFERROR(__xludf.DUMMYFUNCTION("""COMPUTED_VALUE"""),8.0)</f>
        <v>8</v>
      </c>
      <c r="K35" s="51"/>
      <c r="L35" s="61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IFERROR(__xludf.DUMMYFUNCTION("""COMPUTED_VALUE"""),6.3)</f>
        <v>6.3</v>
      </c>
      <c r="F36" s="55">
        <f>IFERROR(__xludf.DUMMYFUNCTION("""COMPUTED_VALUE"""),2.0)</f>
        <v>2</v>
      </c>
      <c r="G36" s="56">
        <f>IFERROR(__xludf.DUMMYFUNCTION("""COMPUTED_VALUE"""),1.0)</f>
        <v>1</v>
      </c>
      <c r="H36" s="57">
        <f>IFERROR(__xludf.DUMMYFUNCTION("""COMPUTED_VALUE"""),9.3)</f>
        <v>9.3</v>
      </c>
      <c r="I36" s="58">
        <f>IFERROR(__xludf.DUMMYFUNCTION("""COMPUTED_VALUE"""),0.0)</f>
        <v>0</v>
      </c>
      <c r="J36" s="59">
        <f>IFERROR(__xludf.DUMMYFUNCTION("""COMPUTED_VALUE"""),9.0)</f>
        <v>9</v>
      </c>
      <c r="K36" s="51"/>
      <c r="L36" s="61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IFERROR(__xludf.DUMMYFUNCTION("""COMPUTED_VALUE"""),6.6)</f>
        <v>6.6</v>
      </c>
      <c r="F37" s="55">
        <f>IFERROR(__xludf.DUMMYFUNCTION("""COMPUTED_VALUE"""),1.6)</f>
        <v>1.6</v>
      </c>
      <c r="G37" s="56">
        <f>IFERROR(__xludf.DUMMYFUNCTION("""COMPUTED_VALUE"""),1.0)</f>
        <v>1</v>
      </c>
      <c r="H37" s="57">
        <f>IFERROR(__xludf.DUMMYFUNCTION("""COMPUTED_VALUE"""),9.2)</f>
        <v>9.2</v>
      </c>
      <c r="I37" s="58">
        <f>IFERROR(__xludf.DUMMYFUNCTION("""COMPUTED_VALUE"""),0.0)</f>
        <v>0</v>
      </c>
      <c r="J37" s="59">
        <f>IFERROR(__xludf.DUMMYFUNCTION("""COMPUTED_VALUE"""),9.0)</f>
        <v>9</v>
      </c>
      <c r="K37" s="51"/>
      <c r="L37" s="61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IFERROR(__xludf.DUMMYFUNCTION("""COMPUTED_VALUE"""),6.5)</f>
        <v>6.5</v>
      </c>
      <c r="F38" s="55">
        <f>IFERROR(__xludf.DUMMYFUNCTION("""COMPUTED_VALUE"""),2.0)</f>
        <v>2</v>
      </c>
      <c r="G38" s="56"/>
      <c r="H38" s="57">
        <f>IFERROR(__xludf.DUMMYFUNCTION("""COMPUTED_VALUE"""),8.5)</f>
        <v>8.5</v>
      </c>
      <c r="I38" s="58">
        <f>IFERROR(__xludf.DUMMYFUNCTION("""COMPUTED_VALUE"""),0.0)</f>
        <v>0</v>
      </c>
      <c r="J38" s="59">
        <f>IFERROR(__xludf.DUMMYFUNCTION("""COMPUTED_VALUE"""),9.0)</f>
        <v>9</v>
      </c>
      <c r="K38" s="51"/>
      <c r="L38" s="61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IFERROR(__xludf.DUMMYFUNCTION("""COMPUTED_VALUE"""),4.5)</f>
        <v>4.5</v>
      </c>
      <c r="F39" s="55">
        <f>IFERROR(__xludf.DUMMYFUNCTION("""COMPUTED_VALUE"""),1.8)</f>
        <v>1.8</v>
      </c>
      <c r="G39" s="56"/>
      <c r="H39" s="57">
        <f>IFERROR(__xludf.DUMMYFUNCTION("""COMPUTED_VALUE"""),6.3)</f>
        <v>6.3</v>
      </c>
      <c r="I39" s="58">
        <f>IFERROR(__xludf.DUMMYFUNCTION("""COMPUTED_VALUE"""),1.0)</f>
        <v>1</v>
      </c>
      <c r="J39" s="59">
        <f>IFERROR(__xludf.DUMMYFUNCTION("""COMPUTED_VALUE"""),6.0)</f>
        <v>6</v>
      </c>
      <c r="K39" s="51"/>
      <c r="L39" s="61">
        <f>IFERROR(__xludf.DUMMYFUNCTION("""COMPUTED_VALUE"""),6.0)</f>
        <v>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IFERROR(__xludf.DUMMYFUNCTION("""COMPUTED_VALUE"""),3.5)</f>
        <v>3.5</v>
      </c>
      <c r="F40" s="55">
        <f>IFERROR(__xludf.DUMMYFUNCTION("""COMPUTED_VALUE"""),0.7)</f>
        <v>0.7</v>
      </c>
      <c r="G40" s="56"/>
      <c r="H40" s="57">
        <f>IFERROR(__xludf.DUMMYFUNCTION("""COMPUTED_VALUE"""),4.2)</f>
        <v>4.2</v>
      </c>
      <c r="I40" s="58">
        <f>IFERROR(__xludf.DUMMYFUNCTION("""COMPUTED_VALUE"""),2.0)</f>
        <v>2</v>
      </c>
      <c r="J40" s="59">
        <f>IFERROR(__xludf.DUMMYFUNCTION("""COMPUTED_VALUE"""),5.0)</f>
        <v>5</v>
      </c>
      <c r="K40" s="51"/>
      <c r="L40" s="61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IFERROR(__xludf.DUMMYFUNCTION("""COMPUTED_VALUE"""),5.0)</f>
        <v>5</v>
      </c>
      <c r="F41" s="55">
        <f>IFERROR(__xludf.DUMMYFUNCTION("""COMPUTED_VALUE"""),1.0)</f>
        <v>1</v>
      </c>
      <c r="G41" s="56"/>
      <c r="H41" s="57">
        <f>IFERROR(__xludf.DUMMYFUNCTION("""COMPUTED_VALUE"""),6.0)</f>
        <v>6</v>
      </c>
      <c r="I41" s="58">
        <f>IFERROR(__xludf.DUMMYFUNCTION("""COMPUTED_VALUE"""),0.0)</f>
        <v>0</v>
      </c>
      <c r="J41" s="59">
        <f>IFERROR(__xludf.DUMMYFUNCTION("""COMPUTED_VALUE"""),6.0)</f>
        <v>6</v>
      </c>
      <c r="K41" s="51"/>
      <c r="L41" s="61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IFERROR(__xludf.DUMMYFUNCTION("""COMPUTED_VALUE"""),5.0)</f>
        <v>5</v>
      </c>
      <c r="F42" s="55">
        <f>IFERROR(__xludf.DUMMYFUNCTION("""COMPUTED_VALUE"""),1.2)</f>
        <v>1.2</v>
      </c>
      <c r="G42" s="56"/>
      <c r="H42" s="57">
        <f>IFERROR(__xludf.DUMMYFUNCTION("""COMPUTED_VALUE"""),6.2)</f>
        <v>6.2</v>
      </c>
      <c r="I42" s="58">
        <f>IFERROR(__xludf.DUMMYFUNCTION("""COMPUTED_VALUE"""),0.0)</f>
        <v>0</v>
      </c>
      <c r="J42" s="59">
        <f>IFERROR(__xludf.DUMMYFUNCTION("""COMPUTED_VALUE"""),6.0)</f>
        <v>6</v>
      </c>
      <c r="K42" s="51"/>
      <c r="L42" s="61">
        <f>IFERROR(__xludf.DUMMYFUNCTION("""COMPUTED_VALUE"""),6.0)</f>
        <v>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IFERROR(__xludf.DUMMYFUNCTION("""COMPUTED_VALUE"""),5.4)</f>
        <v>5.4</v>
      </c>
      <c r="F43" s="55">
        <f>IFERROR(__xludf.DUMMYFUNCTION("""COMPUTED_VALUE"""),1.4)</f>
        <v>1.4</v>
      </c>
      <c r="G43" s="56">
        <f>IFERROR(__xludf.DUMMYFUNCTION("""COMPUTED_VALUE"""),1.0)</f>
        <v>1</v>
      </c>
      <c r="H43" s="57">
        <f>IFERROR(__xludf.DUMMYFUNCTION("""COMPUTED_VALUE"""),7.800000000000001)</f>
        <v>7.8</v>
      </c>
      <c r="I43" s="58">
        <f>IFERROR(__xludf.DUMMYFUNCTION("""COMPUTED_VALUE"""),0.0)</f>
        <v>0</v>
      </c>
      <c r="J43" s="59">
        <f>IFERROR(__xludf.DUMMYFUNCTION("""COMPUTED_VALUE"""),8.0)</f>
        <v>8</v>
      </c>
      <c r="K43" s="51"/>
      <c r="L43" s="61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IFERROR(__xludf.DUMMYFUNCTION("""COMPUTED_VALUE"""),5.2)</f>
        <v>5.2</v>
      </c>
      <c r="F44" s="55">
        <f>IFERROR(__xludf.DUMMYFUNCTION("""COMPUTED_VALUE"""),1.6)</f>
        <v>1.6</v>
      </c>
      <c r="G44" s="56"/>
      <c r="H44" s="57">
        <f>IFERROR(__xludf.DUMMYFUNCTION("""COMPUTED_VALUE"""),6.800000000000001)</f>
        <v>6.8</v>
      </c>
      <c r="I44" s="58">
        <f>IFERROR(__xludf.DUMMYFUNCTION("""COMPUTED_VALUE"""),1.0)</f>
        <v>1</v>
      </c>
      <c r="J44" s="59">
        <f>IFERROR(__xludf.DUMMYFUNCTION("""COMPUTED_VALUE"""),7.0)</f>
        <v>7</v>
      </c>
      <c r="K44" s="51"/>
      <c r="L44" s="61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IFERROR(__xludf.DUMMYFUNCTION("""COMPUTED_VALUE"""),5.0)</f>
        <v>5</v>
      </c>
      <c r="F45" s="55">
        <f>IFERROR(__xludf.DUMMYFUNCTION("""COMPUTED_VALUE"""),1.0)</f>
        <v>1</v>
      </c>
      <c r="G45" s="56"/>
      <c r="H45" s="57">
        <f>IFERROR(__xludf.DUMMYFUNCTION("""COMPUTED_VALUE"""),6.0)</f>
        <v>6</v>
      </c>
      <c r="I45" s="58">
        <f>IFERROR(__xludf.DUMMYFUNCTION("""COMPUTED_VALUE"""),0.0)</f>
        <v>0</v>
      </c>
      <c r="J45" s="59">
        <f>IFERROR(__xludf.DUMMYFUNCTION("""COMPUTED_VALUE"""),6.0)</f>
        <v>6</v>
      </c>
      <c r="K45" s="51"/>
      <c r="L45" s="61">
        <f>IFERROR(__xludf.DUMMYFUNCTION("""COMPUTED_VALUE"""),6.0)</f>
        <v>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IFERROR(__xludf.DUMMYFUNCTION("""COMPUTED_VALUE"""),4.8)</f>
        <v>4.8</v>
      </c>
      <c r="F46" s="55">
        <f>IFERROR(__xludf.DUMMYFUNCTION("""COMPUTED_VALUE"""),1.4)</f>
        <v>1.4</v>
      </c>
      <c r="G46" s="56"/>
      <c r="H46" s="57">
        <f>IFERROR(__xludf.DUMMYFUNCTION("""COMPUTED_VALUE"""),6.199999999999999)</f>
        <v>6.2</v>
      </c>
      <c r="I46" s="58">
        <f>IFERROR(__xludf.DUMMYFUNCTION("""COMPUTED_VALUE"""),0.0)</f>
        <v>0</v>
      </c>
      <c r="J46" s="59">
        <f>IFERROR(__xludf.DUMMYFUNCTION("""COMPUTED_VALUE"""),6.0)</f>
        <v>6</v>
      </c>
      <c r="K46" s="51"/>
      <c r="L46" s="61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IFERROR(__xludf.DUMMYFUNCTION("""COMPUTED_VALUE"""),6.8)</f>
        <v>6.8</v>
      </c>
      <c r="F47" s="55">
        <f>IFERROR(__xludf.DUMMYFUNCTION("""COMPUTED_VALUE"""),2.0)</f>
        <v>2</v>
      </c>
      <c r="G47" s="56">
        <f>IFERROR(__xludf.DUMMYFUNCTION("""COMPUTED_VALUE"""),1.5)</f>
        <v>1.5</v>
      </c>
      <c r="H47" s="57">
        <f>IFERROR(__xludf.DUMMYFUNCTION("""COMPUTED_VALUE"""),10.3)</f>
        <v>10.3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IFERROR(__xludf.DUMMYFUNCTION("""COMPUTED_VALUE"""),5.5)</f>
        <v>5.5</v>
      </c>
      <c r="F48" s="55">
        <f>IFERROR(__xludf.DUMMYFUNCTION("""COMPUTED_VALUE"""),1.6)</f>
        <v>1.6</v>
      </c>
      <c r="G48" s="56">
        <f>IFERROR(__xludf.DUMMYFUNCTION("""COMPUTED_VALUE"""),1.0)</f>
        <v>1</v>
      </c>
      <c r="H48" s="57">
        <f>IFERROR(__xludf.DUMMYFUNCTION("""COMPUTED_VALUE"""),8.1)</f>
        <v>8.1</v>
      </c>
      <c r="I48" s="58">
        <f>IFERROR(__xludf.DUMMYFUNCTION("""COMPUTED_VALUE"""),0.0)</f>
        <v>0</v>
      </c>
      <c r="J48" s="59">
        <f>IFERROR(__xludf.DUMMYFUNCTION("""COMPUTED_VALUE"""),8.0)</f>
        <v>8</v>
      </c>
      <c r="K48" s="51"/>
      <c r="L48" s="61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IFERROR(__xludf.DUMMYFUNCTION("""COMPUTED_VALUE"""),5.0)</f>
        <v>5</v>
      </c>
      <c r="F49" s="55">
        <f>IFERROR(__xludf.DUMMYFUNCTION("""COMPUTED_VALUE"""),1.4)</f>
        <v>1.4</v>
      </c>
      <c r="G49" s="56"/>
      <c r="H49" s="57">
        <f>IFERROR(__xludf.DUMMYFUNCTION("""COMPUTED_VALUE"""),6.4)</f>
        <v>6.4</v>
      </c>
      <c r="I49" s="58">
        <f>IFERROR(__xludf.DUMMYFUNCTION("""COMPUTED_VALUE"""),0.0)</f>
        <v>0</v>
      </c>
      <c r="J49" s="59">
        <f>IFERROR(__xludf.DUMMYFUNCTION("""COMPUTED_VALUE"""),6.0)</f>
        <v>6</v>
      </c>
      <c r="K49" s="51"/>
      <c r="L49" s="61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IFERROR(__xludf.DUMMYFUNCTION("""COMPUTED_VALUE"""),5.2)</f>
        <v>5.2</v>
      </c>
      <c r="F50" s="55">
        <f>IFERROR(__xludf.DUMMYFUNCTION("""COMPUTED_VALUE"""),1.0)</f>
        <v>1</v>
      </c>
      <c r="G50" s="56"/>
      <c r="H50" s="57">
        <f>IFERROR(__xludf.DUMMYFUNCTION("""COMPUTED_VALUE"""),6.2)</f>
        <v>6.2</v>
      </c>
      <c r="I50" s="58">
        <f>IFERROR(__xludf.DUMMYFUNCTION("""COMPUTED_VALUE"""),0.0)</f>
        <v>0</v>
      </c>
      <c r="J50" s="59">
        <f>IFERROR(__xludf.DUMMYFUNCTION("""COMPUTED_VALUE"""),6.0)</f>
        <v>6</v>
      </c>
      <c r="K50" s="51"/>
      <c r="L50" s="61">
        <f>IFERROR(__xludf.DUMMYFUNCTION("""COMPUTED_VALUE"""),6.0)</f>
        <v>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IFERROR(__xludf.DUMMYFUNCTION("""COMPUTED_VALUE"""),5.4)</f>
        <v>5.4</v>
      </c>
      <c r="F51" s="55">
        <f>IFERROR(__xludf.DUMMYFUNCTION("""COMPUTED_VALUE"""),1.0)</f>
        <v>1</v>
      </c>
      <c r="G51" s="56"/>
      <c r="H51" s="57">
        <f>IFERROR(__xludf.DUMMYFUNCTION("""COMPUTED_VALUE"""),6.4)</f>
        <v>6.4</v>
      </c>
      <c r="I51" s="58">
        <f>IFERROR(__xludf.DUMMYFUNCTION("""COMPUTED_VALUE"""),0.0)</f>
        <v>0</v>
      </c>
      <c r="J51" s="59">
        <f>IFERROR(__xludf.DUMMYFUNCTION("""COMPUTED_VALUE"""),6.0)</f>
        <v>6</v>
      </c>
      <c r="K51" s="51"/>
      <c r="L51" s="60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IFERROR(__xludf.DUMMYFUNCTION("""COMPUTED_VALUE"""),5.1)</f>
        <v>5.1</v>
      </c>
      <c r="F52" s="55">
        <f>IFERROR(__xludf.DUMMYFUNCTION("""COMPUTED_VALUE"""),1.2)</f>
        <v>1.2</v>
      </c>
      <c r="G52" s="56"/>
      <c r="H52" s="57">
        <f>IFERROR(__xludf.DUMMYFUNCTION("""COMPUTED_VALUE"""),6.3)</f>
        <v>6.3</v>
      </c>
      <c r="I52" s="58">
        <f>IFERROR(__xludf.DUMMYFUNCTION("""COMPUTED_VALUE"""),0.0)</f>
        <v>0</v>
      </c>
      <c r="J52" s="59">
        <f>IFERROR(__xludf.DUMMYFUNCTION("""COMPUTED_VALUE"""),6.0)</f>
        <v>6</v>
      </c>
      <c r="K52" s="51"/>
      <c r="L52" s="60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IFERROR(__xludf.DUMMYFUNCTION("""COMPUTED_VALUE"""),4.5)</f>
        <v>4.5</v>
      </c>
      <c r="F53" s="55">
        <f>IFERROR(__xludf.DUMMYFUNCTION("""COMPUTED_VALUE"""),1.2)</f>
        <v>1.2</v>
      </c>
      <c r="G53" s="56"/>
      <c r="H53" s="57">
        <f>IFERROR(__xludf.DUMMYFUNCTION("""COMPUTED_VALUE"""),5.7)</f>
        <v>5.7</v>
      </c>
      <c r="I53" s="58">
        <f>IFERROR(__xludf.DUMMYFUNCTION("""COMPUTED_VALUE"""),2.0)</f>
        <v>2</v>
      </c>
      <c r="J53" s="59">
        <f>IFERROR(__xludf.DUMMYFUNCTION("""COMPUTED_VALUE"""),5.0)</f>
        <v>5</v>
      </c>
      <c r="K53" s="51"/>
      <c r="L53" s="60">
        <f>IFERROR(__xludf.DUMMYFUNCTION("""COMPUTED_VALUE"""),5.0)</f>
        <v>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IFERROR(__xludf.DUMMYFUNCTION("""COMPUTED_VALUE"""),5.1)</f>
        <v>5.1</v>
      </c>
      <c r="F54" s="55">
        <f>IFERROR(__xludf.DUMMYFUNCTION("""COMPUTED_VALUE"""),1.6)</f>
        <v>1.6</v>
      </c>
      <c r="G54" s="56"/>
      <c r="H54" s="57">
        <f>IFERROR(__xludf.DUMMYFUNCTION("""COMPUTED_VALUE"""),6.699999999999999)</f>
        <v>6.7</v>
      </c>
      <c r="I54" s="68">
        <f>IFERROR(__xludf.DUMMYFUNCTION("""COMPUTED_VALUE"""),0.0)</f>
        <v>0</v>
      </c>
      <c r="J54" s="59">
        <f>IFERROR(__xludf.DUMMYFUNCTION("""COMPUTED_VALUE"""),7.0)</f>
        <v>7</v>
      </c>
      <c r="K54" s="51"/>
      <c r="L54" s="60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IFERROR(__xludf.DUMMYFUNCTION("""COMPUTED_VALUE"""),4.9)</f>
        <v>4.9</v>
      </c>
      <c r="F55" s="55">
        <f>IFERROR(__xludf.DUMMYFUNCTION("""COMPUTED_VALUE"""),1.6)</f>
        <v>1.6</v>
      </c>
      <c r="G55" s="56"/>
      <c r="H55" s="57">
        <f>IFERROR(__xludf.DUMMYFUNCTION("""COMPUTED_VALUE"""),6.5)</f>
        <v>6.5</v>
      </c>
      <c r="I55" s="68">
        <f>IFERROR(__xludf.DUMMYFUNCTION("""COMPUTED_VALUE"""),0.0)</f>
        <v>0</v>
      </c>
      <c r="J55" s="59">
        <f>IFERROR(__xludf.DUMMYFUNCTION("""COMPUTED_VALUE"""),7.0)</f>
        <v>7</v>
      </c>
      <c r="K55" s="51"/>
      <c r="L55" s="60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IFERROR(__xludf.DUMMYFUNCTION("""COMPUTED_VALUE"""),5.2)</f>
        <v>5.2</v>
      </c>
      <c r="F56" s="55">
        <f>IFERROR(__xludf.DUMMYFUNCTION("""COMPUTED_VALUE"""),1.4)</f>
        <v>1.4</v>
      </c>
      <c r="G56" s="56">
        <f>IFERROR(__xludf.DUMMYFUNCTION("""COMPUTED_VALUE"""),1.0)</f>
        <v>1</v>
      </c>
      <c r="H56" s="57">
        <f>IFERROR(__xludf.DUMMYFUNCTION("""COMPUTED_VALUE"""),7.6)</f>
        <v>7.6</v>
      </c>
      <c r="I56" s="68">
        <f>IFERROR(__xludf.DUMMYFUNCTION("""COMPUTED_VALUE"""),0.0)</f>
        <v>0</v>
      </c>
      <c r="J56" s="59">
        <f>IFERROR(__xludf.DUMMYFUNCTION("""COMPUTED_VALUE"""),8.0)</f>
        <v>8</v>
      </c>
      <c r="K56" s="51"/>
      <c r="L56" s="60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IFERROR(__xludf.DUMMYFUNCTION("""COMPUTED_VALUE"""),5.2)</f>
        <v>5.2</v>
      </c>
      <c r="F57" s="55">
        <f>IFERROR(__xludf.DUMMYFUNCTION("""COMPUTED_VALUE"""),1.2)</f>
        <v>1.2</v>
      </c>
      <c r="G57" s="56"/>
      <c r="H57" s="57">
        <f>IFERROR(__xludf.DUMMYFUNCTION("""COMPUTED_VALUE"""),6.4)</f>
        <v>6.4</v>
      </c>
      <c r="I57" s="68">
        <f>IFERROR(__xludf.DUMMYFUNCTION("""COMPUTED_VALUE"""),0.0)</f>
        <v>0</v>
      </c>
      <c r="J57" s="59">
        <f>IFERROR(__xludf.DUMMYFUNCTION("""COMPUTED_VALUE"""),6.0)</f>
        <v>6</v>
      </c>
      <c r="K57" s="51"/>
      <c r="L57" s="60">
        <f>IFERROR(__xludf.DUMMYFUNCTION("""COMPUTED_VALUE"""),6.0)</f>
        <v>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IFERROR(__xludf.DUMMYFUNCTION("""COMPUTED_VALUE"""),5.4)</f>
        <v>5.4</v>
      </c>
      <c r="F58" s="55">
        <f>IFERROR(__xludf.DUMMYFUNCTION("""COMPUTED_VALUE"""),1.2)</f>
        <v>1.2</v>
      </c>
      <c r="G58" s="56"/>
      <c r="H58" s="57">
        <f>IFERROR(__xludf.DUMMYFUNCTION("""COMPUTED_VALUE"""),6.6000000000000005)</f>
        <v>6.6</v>
      </c>
      <c r="I58" s="68">
        <f>IFERROR(__xludf.DUMMYFUNCTION("""COMPUTED_VALUE"""),0.0)</f>
        <v>0</v>
      </c>
      <c r="J58" s="59">
        <f>IFERROR(__xludf.DUMMYFUNCTION("""COMPUTED_VALUE"""),7.0)</f>
        <v>7</v>
      </c>
      <c r="K58" s="51"/>
      <c r="L58" s="60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IFERROR(__xludf.DUMMYFUNCTION("""COMPUTED_VALUE"""),4.8)</f>
        <v>4.8</v>
      </c>
      <c r="F59" s="55">
        <f>IFERROR(__xludf.DUMMYFUNCTION("""COMPUTED_VALUE"""),1.6)</f>
        <v>1.6</v>
      </c>
      <c r="G59" s="56"/>
      <c r="H59" s="57">
        <f>IFERROR(__xludf.DUMMYFUNCTION("""COMPUTED_VALUE"""),6.4)</f>
        <v>6.4</v>
      </c>
      <c r="I59" s="68">
        <f>IFERROR(__xludf.DUMMYFUNCTION("""COMPUTED_VALUE"""),0.0)</f>
        <v>0</v>
      </c>
      <c r="J59" s="59">
        <f>IFERROR(__xludf.DUMMYFUNCTION("""COMPUTED_VALUE"""),6.0)</f>
        <v>6</v>
      </c>
      <c r="K59" s="51"/>
      <c r="L59" s="60">
        <f>IFERROR(__xludf.DUMMYFUNCTION("""COMPUTED_VALUE"""),6.0)</f>
        <v>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IFERROR(__xludf.DUMMYFUNCTION("""COMPUTED_VALUE"""),5.3)</f>
        <v>5.3</v>
      </c>
      <c r="F60" s="55">
        <f>IFERROR(__xludf.DUMMYFUNCTION("""COMPUTED_VALUE"""),1.6)</f>
        <v>1.6</v>
      </c>
      <c r="G60" s="56"/>
      <c r="H60" s="57">
        <f>IFERROR(__xludf.DUMMYFUNCTION("""COMPUTED_VALUE"""),6.9)</f>
        <v>6.9</v>
      </c>
      <c r="I60" s="68">
        <f>IFERROR(__xludf.DUMMYFUNCTION("""COMPUTED_VALUE"""),0.0)</f>
        <v>0</v>
      </c>
      <c r="J60" s="59">
        <f>IFERROR(__xludf.DUMMYFUNCTION("""COMPUTED_VALUE"""),7.0)</f>
        <v>7</v>
      </c>
      <c r="K60" s="51"/>
      <c r="L60" s="60">
        <f>IFERROR(__xludf.DUMMYFUNCTION("""COMPUTED_VALUE"""),7.0)</f>
        <v>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IFERROR(__xludf.DUMMYFUNCTION("""COMPUTED_VALUE"""),5.6)</f>
        <v>5.6</v>
      </c>
      <c r="F61" s="55">
        <f>IFERROR(__xludf.DUMMYFUNCTION("""COMPUTED_VALUE"""),1.4)</f>
        <v>1.4</v>
      </c>
      <c r="G61" s="56"/>
      <c r="H61" s="57">
        <f>IFERROR(__xludf.DUMMYFUNCTION("""COMPUTED_VALUE"""),7.0)</f>
        <v>7</v>
      </c>
      <c r="I61" s="68">
        <f>IFERROR(__xludf.DUMMYFUNCTION("""COMPUTED_VALUE"""),0.0)</f>
        <v>0</v>
      </c>
      <c r="J61" s="59">
        <f>IFERROR(__xludf.DUMMYFUNCTION("""COMPUTED_VALUE"""),7.0)</f>
        <v>7</v>
      </c>
      <c r="K61" s="51"/>
      <c r="L61" s="60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IFERROR(__xludf.DUMMYFUNCTION("""COMPUTED_VALUE"""),6.5)</f>
        <v>6.5</v>
      </c>
      <c r="F62" s="55">
        <f>IFERROR(__xludf.DUMMYFUNCTION("""COMPUTED_VALUE"""),2.0)</f>
        <v>2</v>
      </c>
      <c r="G62" s="56">
        <f>IFERROR(__xludf.DUMMYFUNCTION("""COMPUTED_VALUE"""),1.0)</f>
        <v>1</v>
      </c>
      <c r="H62" s="57">
        <f>IFERROR(__xludf.DUMMYFUNCTION("""COMPUTED_VALUE"""),9.5)</f>
        <v>9.5</v>
      </c>
      <c r="I62" s="55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IFERROR(__xludf.DUMMYFUNCTION("""COMPUTED_VALUE"""),5.1)</f>
        <v>5.1</v>
      </c>
      <c r="F63" s="55">
        <f>IFERROR(__xludf.DUMMYFUNCTION("""COMPUTED_VALUE"""),1.2)</f>
        <v>1.2</v>
      </c>
      <c r="G63" s="56"/>
      <c r="H63" s="57">
        <f>IFERROR(__xludf.DUMMYFUNCTION("""COMPUTED_VALUE"""),6.3)</f>
        <v>6.3</v>
      </c>
      <c r="I63" s="55">
        <f>IFERROR(__xludf.DUMMYFUNCTION("""COMPUTED_VALUE"""),0.0)</f>
        <v>0</v>
      </c>
      <c r="J63" s="59">
        <f>IFERROR(__xludf.DUMMYFUNCTION("""COMPUTED_VALUE"""),6.0)</f>
        <v>6</v>
      </c>
      <c r="K63" s="51"/>
      <c r="L63" s="60">
        <f>IFERROR(__xludf.DUMMYFUNCTION("""COMPUTED_VALUE"""),6.0)</f>
        <v>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118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119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92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IFERROR(__xludf.DUMMYFUNCTION("""COMPUTED_VALUE"""),39.0)</f>
        <v>39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IFERROR(__xludf.DUMMYFUNCTION("""COMPUTED_VALUE"""),8.0)</f>
        <v>8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IFERROR(__xludf.DUMMYFUNCTION("""COMPUTED_VALUE"""),82.97872340425532)</f>
        <v>82.9787234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IFERROR(__xludf.DUMMYFUNCTION("""COMPUTED_VALUE"""),6.787234042553192)</f>
        <v>6.787234043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IFERROR(__xludf.DUMMYFUNCTION("IMPORTRANGE(""https://docs.google.com/spreadsheets/d/1gWm5grlICJTE9yzh0EdKexQ0PnWg6cx3Djpo_7ER3Ig/edit?gid=1850986163#gid=1850986163"",""2-1 espacio y sociedad!a1:q86"")"),"")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IFERROR(__xludf.DUMMYFUNCTION("""COMPUTED_VALUE"""),"MA. GUADALUPE GRANADOS DE LOERA")</f>
        <v>MA. GUADALUPE GRANADOS DE LOERA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IFERROR(__xludf.DUMMYFUNCTION("""COMPUTED_VALUE"""),"ESPACIO Y SOCIEDAD")</f>
        <v>ESPACIO Y SOCIEDAD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55">
        <f>IFERROR(__xludf.DUMMYFUNCTION("""COMPUTED_VALUE"""),4.0)</f>
        <v>4</v>
      </c>
      <c r="F17" s="55">
        <f>IFERROR(__xludf.DUMMYFUNCTION("""COMPUTED_VALUE"""),2.0)</f>
        <v>2</v>
      </c>
      <c r="G17" s="56"/>
      <c r="H17" s="57">
        <f>IFERROR(__xludf.DUMMYFUNCTION("""COMPUTED_VALUE"""),6.0)</f>
        <v>6</v>
      </c>
      <c r="I17" s="58">
        <f>IFERROR(__xludf.DUMMYFUNCTION("""COMPUTED_VALUE"""),0.0)</f>
        <v>0</v>
      </c>
      <c r="J17" s="59">
        <f>IFERROR(__xludf.DUMMYFUNCTION("""COMPUTED_VALUE"""),6.0)</f>
        <v>6</v>
      </c>
      <c r="K17" s="60"/>
      <c r="L17" s="61">
        <f>IFERROR(__xludf.DUMMYFUNCTION("""COMPUTED_VALUE"""),6.0)</f>
        <v>6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55">
        <f>IFERROR(__xludf.DUMMYFUNCTION("""COMPUTED_VALUE"""),4.0)</f>
        <v>4</v>
      </c>
      <c r="F18" s="55">
        <f>IFERROR(__xludf.DUMMYFUNCTION("""COMPUTED_VALUE"""),2.0)</f>
        <v>2</v>
      </c>
      <c r="G18" s="56"/>
      <c r="H18" s="57">
        <f>IFERROR(__xludf.DUMMYFUNCTION("""COMPUTED_VALUE"""),6.0)</f>
        <v>6</v>
      </c>
      <c r="I18" s="58">
        <f>IFERROR(__xludf.DUMMYFUNCTION("""COMPUTED_VALUE"""),0.0)</f>
        <v>0</v>
      </c>
      <c r="J18" s="59">
        <f>IFERROR(__xludf.DUMMYFUNCTION("""COMPUTED_VALUE"""),6.0)</f>
        <v>6</v>
      </c>
      <c r="K18" s="51"/>
      <c r="L18" s="61">
        <f>IFERROR(__xludf.DUMMYFUNCTION("""COMPUTED_VALUE"""),6.0)</f>
        <v>6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56">
        <f>IFERROR(__xludf.DUMMYFUNCTION("""COMPUTED_VALUE"""),8.0)</f>
        <v>8</v>
      </c>
      <c r="F19" s="55">
        <f>IFERROR(__xludf.DUMMYFUNCTION("""COMPUTED_VALUE"""),2.0)</f>
        <v>2</v>
      </c>
      <c r="G19" s="56"/>
      <c r="H19" s="57">
        <f>IFERROR(__xludf.DUMMYFUNCTION("""COMPUTED_VALUE"""),10.0)</f>
        <v>10</v>
      </c>
      <c r="I19" s="58">
        <f>IFERROR(__xludf.DUMMYFUNCTION("""COMPUTED_VALUE"""),0.0)</f>
        <v>0</v>
      </c>
      <c r="J19" s="59">
        <f>IFERROR(__xludf.DUMMYFUNCTION("""COMPUTED_VALUE"""),10.0)</f>
        <v>10</v>
      </c>
      <c r="K19" s="51"/>
      <c r="L19" s="61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55">
        <f>IFERROR(__xludf.DUMMYFUNCTION("""COMPUTED_VALUE"""),8.0)</f>
        <v>8</v>
      </c>
      <c r="F20" s="55">
        <f>IFERROR(__xludf.DUMMYFUNCTION("""COMPUTED_VALUE"""),2.0)</f>
        <v>2</v>
      </c>
      <c r="G20" s="56"/>
      <c r="H20" s="57">
        <f>IFERROR(__xludf.DUMMYFUNCTION("""COMPUTED_VALUE"""),10.0)</f>
        <v>10</v>
      </c>
      <c r="I20" s="58">
        <f>IFERROR(__xludf.DUMMYFUNCTION("""COMPUTED_VALUE"""),0.0)</f>
        <v>0</v>
      </c>
      <c r="J20" s="59">
        <f>IFERROR(__xludf.DUMMYFUNCTION("""COMPUTED_VALUE"""),10.0)</f>
        <v>10</v>
      </c>
      <c r="K20" s="51"/>
      <c r="L20" s="61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55">
        <f>IFERROR(__xludf.DUMMYFUNCTION("""COMPUTED_VALUE"""),8.0)</f>
        <v>8</v>
      </c>
      <c r="F21" s="55">
        <f>IFERROR(__xludf.DUMMYFUNCTION("""COMPUTED_VALUE"""),2.0)</f>
        <v>2</v>
      </c>
      <c r="G21" s="56"/>
      <c r="H21" s="57">
        <f>IFERROR(__xludf.DUMMYFUNCTION("""COMPUTED_VALUE"""),10.0)</f>
        <v>10</v>
      </c>
      <c r="I21" s="58">
        <f>IFERROR(__xludf.DUMMYFUNCTION("""COMPUTED_VALUE"""),2.0)</f>
        <v>2</v>
      </c>
      <c r="J21" s="59">
        <f>IFERROR(__xludf.DUMMYFUNCTION("""COMPUTED_VALUE"""),10.0)</f>
        <v>10</v>
      </c>
      <c r="K21" s="51"/>
      <c r="L21" s="61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55">
        <f>IFERROR(__xludf.DUMMYFUNCTION("""COMPUTED_VALUE"""),8.0)</f>
        <v>8</v>
      </c>
      <c r="F22" s="55">
        <f>IFERROR(__xludf.DUMMYFUNCTION("""COMPUTED_VALUE"""),2.0)</f>
        <v>2</v>
      </c>
      <c r="G22" s="56"/>
      <c r="H22" s="57">
        <f>IFERROR(__xludf.DUMMYFUNCTION("""COMPUTED_VALUE"""),10.0)</f>
        <v>10</v>
      </c>
      <c r="I22" s="58">
        <f>IFERROR(__xludf.DUMMYFUNCTION("""COMPUTED_VALUE"""),0.0)</f>
        <v>0</v>
      </c>
      <c r="J22" s="59">
        <f>IFERROR(__xludf.DUMMYFUNCTION("""COMPUTED_VALUE"""),10.0)</f>
        <v>10</v>
      </c>
      <c r="K22" s="51"/>
      <c r="L22" s="61">
        <f>IFERROR(__xludf.DUMMYFUNCTION("""COMPUTED_VALUE"""),10.0)</f>
        <v>10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55">
        <f>IFERROR(__xludf.DUMMYFUNCTION("""COMPUTED_VALUE"""),7.0)</f>
        <v>7</v>
      </c>
      <c r="F23" s="55">
        <f>IFERROR(__xludf.DUMMYFUNCTION("""COMPUTED_VALUE"""),0.0)</f>
        <v>0</v>
      </c>
      <c r="G23" s="56"/>
      <c r="H23" s="57">
        <f>IFERROR(__xludf.DUMMYFUNCTION("""COMPUTED_VALUE"""),7.0)</f>
        <v>7</v>
      </c>
      <c r="I23" s="58">
        <f>IFERROR(__xludf.DUMMYFUNCTION("""COMPUTED_VALUE"""),2.0)</f>
        <v>2</v>
      </c>
      <c r="J23" s="59">
        <f>IFERROR(__xludf.DUMMYFUNCTION("""COMPUTED_VALUE"""),7.0)</f>
        <v>7</v>
      </c>
      <c r="K23" s="51"/>
      <c r="L23" s="61">
        <f>IFERROR(__xludf.DUMMYFUNCTION("""COMPUTED_VALUE"""),7.0)</f>
        <v>7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56">
        <f>IFERROR(__xludf.DUMMYFUNCTION("""COMPUTED_VALUE"""),8.0)</f>
        <v>8</v>
      </c>
      <c r="F24" s="55">
        <f>IFERROR(__xludf.DUMMYFUNCTION("""COMPUTED_VALUE"""),2.0)</f>
        <v>2</v>
      </c>
      <c r="G24" s="56"/>
      <c r="H24" s="57">
        <f>IFERROR(__xludf.DUMMYFUNCTION("""COMPUTED_VALUE"""),10.0)</f>
        <v>10</v>
      </c>
      <c r="I24" s="58">
        <f>IFERROR(__xludf.DUMMYFUNCTION("""COMPUTED_VALUE"""),0.0)</f>
        <v>0</v>
      </c>
      <c r="J24" s="59">
        <f>IFERROR(__xludf.DUMMYFUNCTION("""COMPUTED_VALUE"""),10.0)</f>
        <v>10</v>
      </c>
      <c r="K24" s="51"/>
      <c r="L24" s="61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IFERROR(__xludf.DUMMYFUNCTION("""COMPUTED_VALUE"""),21.0)</f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55">
        <f>IFERROR(__xludf.DUMMYFUNCTION("""COMPUTED_VALUE"""),8.0)</f>
        <v>8</v>
      </c>
      <c r="F25" s="55">
        <f>IFERROR(__xludf.DUMMYFUNCTION("""COMPUTED_VALUE"""),2.0)</f>
        <v>2</v>
      </c>
      <c r="G25" s="56"/>
      <c r="H25" s="57">
        <f>IFERROR(__xludf.DUMMYFUNCTION("""COMPUTED_VALUE"""),10.0)</f>
        <v>10</v>
      </c>
      <c r="I25" s="58">
        <f>IFERROR(__xludf.DUMMYFUNCTION("""COMPUTED_VALUE"""),0.0)</f>
        <v>0</v>
      </c>
      <c r="J25" s="59">
        <f>IFERROR(__xludf.DUMMYFUNCTION("""COMPUTED_VALUE"""),10.0)</f>
        <v>10</v>
      </c>
      <c r="K25" s="51"/>
      <c r="L25" s="61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56">
        <f>IFERROR(__xludf.DUMMYFUNCTION("""COMPUTED_VALUE"""),5.0)</f>
        <v>5</v>
      </c>
      <c r="F26" s="55">
        <f>IFERROR(__xludf.DUMMYFUNCTION("""COMPUTED_VALUE"""),1.0)</f>
        <v>1</v>
      </c>
      <c r="G26" s="56"/>
      <c r="H26" s="57">
        <f>IFERROR(__xludf.DUMMYFUNCTION("""COMPUTED_VALUE"""),6.0)</f>
        <v>6</v>
      </c>
      <c r="I26" s="58">
        <f>IFERROR(__xludf.DUMMYFUNCTION("""COMPUTED_VALUE"""),0.0)</f>
        <v>0</v>
      </c>
      <c r="J26" s="59">
        <f>IFERROR(__xludf.DUMMYFUNCTION("""COMPUTED_VALUE"""),6.0)</f>
        <v>6</v>
      </c>
      <c r="K26" s="51"/>
      <c r="L26" s="61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55">
        <f>IFERROR(__xludf.DUMMYFUNCTION("""COMPUTED_VALUE"""),8.0)</f>
        <v>8</v>
      </c>
      <c r="F27" s="55">
        <f>IFERROR(__xludf.DUMMYFUNCTION("""COMPUTED_VALUE"""),2.0)</f>
        <v>2</v>
      </c>
      <c r="G27" s="56"/>
      <c r="H27" s="57">
        <f>IFERROR(__xludf.DUMMYFUNCTION("""COMPUTED_VALUE"""),10.0)</f>
        <v>10</v>
      </c>
      <c r="I27" s="58">
        <f>IFERROR(__xludf.DUMMYFUNCTION("""COMPUTED_VALUE"""),0.0)</f>
        <v>0</v>
      </c>
      <c r="J27" s="59">
        <f>IFERROR(__xludf.DUMMYFUNCTION("""COMPUTED_VALUE"""),10.0)</f>
        <v>10</v>
      </c>
      <c r="K27" s="51"/>
      <c r="L27" s="61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55">
        <f>IFERROR(__xludf.DUMMYFUNCTION("""COMPUTED_VALUE"""),8.0)</f>
        <v>8</v>
      </c>
      <c r="F28" s="55">
        <f>IFERROR(__xludf.DUMMYFUNCTION("""COMPUTED_VALUE"""),2.0)</f>
        <v>2</v>
      </c>
      <c r="G28" s="56"/>
      <c r="H28" s="57">
        <f>IFERROR(__xludf.DUMMYFUNCTION("""COMPUTED_VALUE"""),10.0)</f>
        <v>10</v>
      </c>
      <c r="I28" s="58">
        <f>IFERROR(__xludf.DUMMYFUNCTION("""COMPUTED_VALUE"""),0.0)</f>
        <v>0</v>
      </c>
      <c r="J28" s="59">
        <f>IFERROR(__xludf.DUMMYFUNCTION("""COMPUTED_VALUE"""),10.0)</f>
        <v>10</v>
      </c>
      <c r="K28" s="51"/>
      <c r="L28" s="61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55">
        <f>IFERROR(__xludf.DUMMYFUNCTION("""COMPUTED_VALUE"""),8.0)</f>
        <v>8</v>
      </c>
      <c r="F29" s="55">
        <f>IFERROR(__xludf.DUMMYFUNCTION("""COMPUTED_VALUE"""),1.0)</f>
        <v>1</v>
      </c>
      <c r="G29" s="56"/>
      <c r="H29" s="57">
        <f>IFERROR(__xludf.DUMMYFUNCTION("""COMPUTED_VALUE"""),9.0)</f>
        <v>9</v>
      </c>
      <c r="I29" s="58">
        <f>IFERROR(__xludf.DUMMYFUNCTION("""COMPUTED_VALUE"""),0.0)</f>
        <v>0</v>
      </c>
      <c r="J29" s="59">
        <f>IFERROR(__xludf.DUMMYFUNCTION("""COMPUTED_VALUE"""),9.0)</f>
        <v>9</v>
      </c>
      <c r="K29" s="51"/>
      <c r="L29" s="61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56">
        <f>IFERROR(__xludf.DUMMYFUNCTION("""COMPUTED_VALUE"""),4.0)</f>
        <v>4</v>
      </c>
      <c r="F30" s="55">
        <f>IFERROR(__xludf.DUMMYFUNCTION("""COMPUTED_VALUE"""),0.0)</f>
        <v>0</v>
      </c>
      <c r="G30" s="56"/>
      <c r="H30" s="57">
        <f>IFERROR(__xludf.DUMMYFUNCTION("""COMPUTED_VALUE"""),4.0)</f>
        <v>4</v>
      </c>
      <c r="I30" s="58">
        <f>IFERROR(__xludf.DUMMYFUNCTION("""COMPUTED_VALUE"""),4.0)</f>
        <v>4</v>
      </c>
      <c r="J30" s="59">
        <f>IFERROR(__xludf.DUMMYFUNCTION("""COMPUTED_VALUE"""),5.0)</f>
        <v>5</v>
      </c>
      <c r="K30" s="51"/>
      <c r="L30" s="61">
        <f>IFERROR(__xludf.DUMMYFUNCTION("""COMPUTED_VALUE"""),4.0)</f>
        <v>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56">
        <f>IFERROR(__xludf.DUMMYFUNCTION("""COMPUTED_VALUE"""),8.0)</f>
        <v>8</v>
      </c>
      <c r="F31" s="55">
        <f>IFERROR(__xludf.DUMMYFUNCTION("""COMPUTED_VALUE"""),2.0)</f>
        <v>2</v>
      </c>
      <c r="G31" s="56"/>
      <c r="H31" s="57">
        <f>IFERROR(__xludf.DUMMYFUNCTION("""COMPUTED_VALUE"""),10.0)</f>
        <v>10</v>
      </c>
      <c r="I31" s="58">
        <f>IFERROR(__xludf.DUMMYFUNCTION("""COMPUTED_VALUE"""),0.0)</f>
        <v>0</v>
      </c>
      <c r="J31" s="59">
        <f>IFERROR(__xludf.DUMMYFUNCTION("""COMPUTED_VALUE"""),10.0)</f>
        <v>10</v>
      </c>
      <c r="K31" s="51"/>
      <c r="L31" s="61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55">
        <f>IFERROR(__xludf.DUMMYFUNCTION("""COMPUTED_VALUE"""),8.0)</f>
        <v>8</v>
      </c>
      <c r="F32" s="55">
        <f>IFERROR(__xludf.DUMMYFUNCTION("""COMPUTED_VALUE"""),2.0)</f>
        <v>2</v>
      </c>
      <c r="G32" s="56"/>
      <c r="H32" s="57">
        <f>IFERROR(__xludf.DUMMYFUNCTION("""COMPUTED_VALUE"""),10.0)</f>
        <v>10</v>
      </c>
      <c r="I32" s="58">
        <f>IFERROR(__xludf.DUMMYFUNCTION("""COMPUTED_VALUE"""),0.0)</f>
        <v>0</v>
      </c>
      <c r="J32" s="59">
        <f>IFERROR(__xludf.DUMMYFUNCTION("""COMPUTED_VALUE"""),10.0)</f>
        <v>10</v>
      </c>
      <c r="K32" s="51"/>
      <c r="L32" s="61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55">
        <f>IFERROR(__xludf.DUMMYFUNCTION("""COMPUTED_VALUE"""),8.0)</f>
        <v>8</v>
      </c>
      <c r="F33" s="55">
        <f>IFERROR(__xludf.DUMMYFUNCTION("""COMPUTED_VALUE"""),2.0)</f>
        <v>2</v>
      </c>
      <c r="G33" s="56"/>
      <c r="H33" s="57">
        <f>IFERROR(__xludf.DUMMYFUNCTION("""COMPUTED_VALUE"""),10.0)</f>
        <v>10</v>
      </c>
      <c r="I33" s="58">
        <f>IFERROR(__xludf.DUMMYFUNCTION("""COMPUTED_VALUE"""),0.0)</f>
        <v>0</v>
      </c>
      <c r="J33" s="59">
        <f>IFERROR(__xludf.DUMMYFUNCTION("""COMPUTED_VALUE"""),10.0)</f>
        <v>10</v>
      </c>
      <c r="K33" s="51"/>
      <c r="L33" s="61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56">
        <f>IFERROR(__xludf.DUMMYFUNCTION("""COMPUTED_VALUE"""),7.0)</f>
        <v>7</v>
      </c>
      <c r="F34" s="55">
        <f>IFERROR(__xludf.DUMMYFUNCTION("""COMPUTED_VALUE"""),0.0)</f>
        <v>0</v>
      </c>
      <c r="G34" s="56"/>
      <c r="H34" s="57">
        <f>IFERROR(__xludf.DUMMYFUNCTION("""COMPUTED_VALUE"""),7.0)</f>
        <v>7</v>
      </c>
      <c r="I34" s="58">
        <f>IFERROR(__xludf.DUMMYFUNCTION("""COMPUTED_VALUE"""),0.0)</f>
        <v>0</v>
      </c>
      <c r="J34" s="59">
        <f>IFERROR(__xludf.DUMMYFUNCTION("""COMPUTED_VALUE"""),7.0)</f>
        <v>7</v>
      </c>
      <c r="K34" s="51"/>
      <c r="L34" s="61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55">
        <f>IFERROR(__xludf.DUMMYFUNCTION("""COMPUTED_VALUE"""),8.0)</f>
        <v>8</v>
      </c>
      <c r="F35" s="55">
        <f>IFERROR(__xludf.DUMMYFUNCTION("""COMPUTED_VALUE"""),2.0)</f>
        <v>2</v>
      </c>
      <c r="G35" s="56"/>
      <c r="H35" s="57">
        <f>IFERROR(__xludf.DUMMYFUNCTION("""COMPUTED_VALUE"""),10.0)</f>
        <v>10</v>
      </c>
      <c r="I35" s="58">
        <f>IFERROR(__xludf.DUMMYFUNCTION("""COMPUTED_VALUE"""),0.0)</f>
        <v>0</v>
      </c>
      <c r="J35" s="59">
        <f>IFERROR(__xludf.DUMMYFUNCTION("""COMPUTED_VALUE"""),10.0)</f>
        <v>10</v>
      </c>
      <c r="K35" s="51"/>
      <c r="L35" s="61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55">
        <f>IFERROR(__xludf.DUMMYFUNCTION("""COMPUTED_VALUE"""),8.0)</f>
        <v>8</v>
      </c>
      <c r="F36" s="55">
        <f>IFERROR(__xludf.DUMMYFUNCTION("""COMPUTED_VALUE"""),2.0)</f>
        <v>2</v>
      </c>
      <c r="G36" s="56"/>
      <c r="H36" s="57">
        <f>IFERROR(__xludf.DUMMYFUNCTION("""COMPUTED_VALUE"""),10.0)</f>
        <v>10</v>
      </c>
      <c r="I36" s="58">
        <f>IFERROR(__xludf.DUMMYFUNCTION("""COMPUTED_VALUE"""),0.0)</f>
        <v>0</v>
      </c>
      <c r="J36" s="59">
        <f>IFERROR(__xludf.DUMMYFUNCTION("""COMPUTED_VALUE"""),10.0)</f>
        <v>10</v>
      </c>
      <c r="K36" s="51"/>
      <c r="L36" s="61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56">
        <f>IFERROR(__xludf.DUMMYFUNCTION("""COMPUTED_VALUE"""),8.0)</f>
        <v>8</v>
      </c>
      <c r="F37" s="55">
        <f>IFERROR(__xludf.DUMMYFUNCTION("""COMPUTED_VALUE"""),2.0)</f>
        <v>2</v>
      </c>
      <c r="G37" s="56"/>
      <c r="H37" s="57">
        <f>IFERROR(__xludf.DUMMYFUNCTION("""COMPUTED_VALUE"""),10.0)</f>
        <v>10</v>
      </c>
      <c r="I37" s="58">
        <f>IFERROR(__xludf.DUMMYFUNCTION("""COMPUTED_VALUE"""),0.0)</f>
        <v>0</v>
      </c>
      <c r="J37" s="59">
        <f>IFERROR(__xludf.DUMMYFUNCTION("""COMPUTED_VALUE"""),10.0)</f>
        <v>10</v>
      </c>
      <c r="K37" s="51"/>
      <c r="L37" s="61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55">
        <f>IFERROR(__xludf.DUMMYFUNCTION("""COMPUTED_VALUE"""),8.0)</f>
        <v>8</v>
      </c>
      <c r="F38" s="55">
        <f>IFERROR(__xludf.DUMMYFUNCTION("""COMPUTED_VALUE"""),2.0)</f>
        <v>2</v>
      </c>
      <c r="G38" s="56"/>
      <c r="H38" s="57">
        <f>IFERROR(__xludf.DUMMYFUNCTION("""COMPUTED_VALUE"""),10.0)</f>
        <v>10</v>
      </c>
      <c r="I38" s="58">
        <f>IFERROR(__xludf.DUMMYFUNCTION("""COMPUTED_VALUE"""),0.0)</f>
        <v>0</v>
      </c>
      <c r="J38" s="59">
        <f>IFERROR(__xludf.DUMMYFUNCTION("""COMPUTED_VALUE"""),10.0)</f>
        <v>10</v>
      </c>
      <c r="K38" s="51"/>
      <c r="L38" s="61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55">
        <f>IFERROR(__xludf.DUMMYFUNCTION("""COMPUTED_VALUE"""),8.0)</f>
        <v>8</v>
      </c>
      <c r="F39" s="55">
        <f>IFERROR(__xludf.DUMMYFUNCTION("""COMPUTED_VALUE"""),2.0)</f>
        <v>2</v>
      </c>
      <c r="G39" s="56"/>
      <c r="H39" s="57">
        <f>IFERROR(__xludf.DUMMYFUNCTION("""COMPUTED_VALUE"""),10.0)</f>
        <v>10</v>
      </c>
      <c r="I39" s="58">
        <f>IFERROR(__xludf.DUMMYFUNCTION("""COMPUTED_VALUE"""),0.0)</f>
        <v>0</v>
      </c>
      <c r="J39" s="59">
        <f>IFERROR(__xludf.DUMMYFUNCTION("""COMPUTED_VALUE"""),10.0)</f>
        <v>10</v>
      </c>
      <c r="K39" s="51"/>
      <c r="L39" s="61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55">
        <f>IFERROR(__xludf.DUMMYFUNCTION("""COMPUTED_VALUE"""),7.0)</f>
        <v>7</v>
      </c>
      <c r="F40" s="55">
        <f>IFERROR(__xludf.DUMMYFUNCTION("""COMPUTED_VALUE"""),0.0)</f>
        <v>0</v>
      </c>
      <c r="G40" s="56"/>
      <c r="H40" s="57">
        <f>IFERROR(__xludf.DUMMYFUNCTION("""COMPUTED_VALUE"""),7.0)</f>
        <v>7</v>
      </c>
      <c r="I40" s="58">
        <f>IFERROR(__xludf.DUMMYFUNCTION("""COMPUTED_VALUE"""),0.0)</f>
        <v>0</v>
      </c>
      <c r="J40" s="59">
        <f>IFERROR(__xludf.DUMMYFUNCTION("""COMPUTED_VALUE"""),7.0)</f>
        <v>7</v>
      </c>
      <c r="K40" s="51"/>
      <c r="L40" s="61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55">
        <f>IFERROR(__xludf.DUMMYFUNCTION("""COMPUTED_VALUE"""),8.0)</f>
        <v>8</v>
      </c>
      <c r="F41" s="55">
        <f>IFERROR(__xludf.DUMMYFUNCTION("""COMPUTED_VALUE"""),2.0)</f>
        <v>2</v>
      </c>
      <c r="G41" s="56"/>
      <c r="H41" s="57">
        <f>IFERROR(__xludf.DUMMYFUNCTION("""COMPUTED_VALUE"""),10.0)</f>
        <v>10</v>
      </c>
      <c r="I41" s="58">
        <f>IFERROR(__xludf.DUMMYFUNCTION("""COMPUTED_VALUE"""),0.0)</f>
        <v>0</v>
      </c>
      <c r="J41" s="59">
        <f>IFERROR(__xludf.DUMMYFUNCTION("""COMPUTED_VALUE"""),10.0)</f>
        <v>10</v>
      </c>
      <c r="K41" s="51"/>
      <c r="L41" s="61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55">
        <f>IFERROR(__xludf.DUMMYFUNCTION("""COMPUTED_VALUE"""),8.0)</f>
        <v>8</v>
      </c>
      <c r="F42" s="55">
        <f>IFERROR(__xludf.DUMMYFUNCTION("""COMPUTED_VALUE"""),2.0)</f>
        <v>2</v>
      </c>
      <c r="G42" s="56"/>
      <c r="H42" s="57">
        <f>IFERROR(__xludf.DUMMYFUNCTION("""COMPUTED_VALUE"""),10.0)</f>
        <v>10</v>
      </c>
      <c r="I42" s="58">
        <f>IFERROR(__xludf.DUMMYFUNCTION("""COMPUTED_VALUE"""),0.0)</f>
        <v>0</v>
      </c>
      <c r="J42" s="59">
        <f>IFERROR(__xludf.DUMMYFUNCTION("""COMPUTED_VALUE"""),10.0)</f>
        <v>10</v>
      </c>
      <c r="K42" s="51"/>
      <c r="L42" s="61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55">
        <f>IFERROR(__xludf.DUMMYFUNCTION("""COMPUTED_VALUE"""),8.0)</f>
        <v>8</v>
      </c>
      <c r="F43" s="55">
        <f>IFERROR(__xludf.DUMMYFUNCTION("""COMPUTED_VALUE"""),2.0)</f>
        <v>2</v>
      </c>
      <c r="G43" s="56"/>
      <c r="H43" s="57">
        <f>IFERROR(__xludf.DUMMYFUNCTION("""COMPUTED_VALUE"""),10.0)</f>
        <v>10</v>
      </c>
      <c r="I43" s="58">
        <f>IFERROR(__xludf.DUMMYFUNCTION("""COMPUTED_VALUE"""),0.0)</f>
        <v>0</v>
      </c>
      <c r="J43" s="59">
        <f>IFERROR(__xludf.DUMMYFUNCTION("""COMPUTED_VALUE"""),10.0)</f>
        <v>10</v>
      </c>
      <c r="K43" s="51"/>
      <c r="L43" s="61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55">
        <f>IFERROR(__xludf.DUMMYFUNCTION("""COMPUTED_VALUE"""),8.0)</f>
        <v>8</v>
      </c>
      <c r="F44" s="55">
        <f>IFERROR(__xludf.DUMMYFUNCTION("""COMPUTED_VALUE"""),2.0)</f>
        <v>2</v>
      </c>
      <c r="G44" s="56"/>
      <c r="H44" s="57">
        <f>IFERROR(__xludf.DUMMYFUNCTION("""COMPUTED_VALUE"""),10.0)</f>
        <v>10</v>
      </c>
      <c r="I44" s="58">
        <f>IFERROR(__xludf.DUMMYFUNCTION("""COMPUTED_VALUE"""),0.0)</f>
        <v>0</v>
      </c>
      <c r="J44" s="59">
        <f>IFERROR(__xludf.DUMMYFUNCTION("""COMPUTED_VALUE"""),10.0)</f>
        <v>10</v>
      </c>
      <c r="K44" s="51"/>
      <c r="L44" s="61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55">
        <f>IFERROR(__xludf.DUMMYFUNCTION("""COMPUTED_VALUE"""),8.0)</f>
        <v>8</v>
      </c>
      <c r="F45" s="55">
        <f>IFERROR(__xludf.DUMMYFUNCTION("""COMPUTED_VALUE"""),2.0)</f>
        <v>2</v>
      </c>
      <c r="G45" s="56"/>
      <c r="H45" s="57">
        <f>IFERROR(__xludf.DUMMYFUNCTION("""COMPUTED_VALUE"""),10.0)</f>
        <v>10</v>
      </c>
      <c r="I45" s="58">
        <f>IFERROR(__xludf.DUMMYFUNCTION("""COMPUTED_VALUE"""),0.0)</f>
        <v>0</v>
      </c>
      <c r="J45" s="59">
        <f>IFERROR(__xludf.DUMMYFUNCTION("""COMPUTED_VALUE"""),9.0)</f>
        <v>9</v>
      </c>
      <c r="K45" s="51"/>
      <c r="L45" s="61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55">
        <f>IFERROR(__xludf.DUMMYFUNCTION("""COMPUTED_VALUE"""),8.0)</f>
        <v>8</v>
      </c>
      <c r="F46" s="55">
        <f>IFERROR(__xludf.DUMMYFUNCTION("""COMPUTED_VALUE"""),0.0)</f>
        <v>0</v>
      </c>
      <c r="G46" s="56"/>
      <c r="H46" s="57">
        <f>IFERROR(__xludf.DUMMYFUNCTION("""COMPUTED_VALUE"""),8.0)</f>
        <v>8</v>
      </c>
      <c r="I46" s="58">
        <f>IFERROR(__xludf.DUMMYFUNCTION("""COMPUTED_VALUE"""),0.0)</f>
        <v>0</v>
      </c>
      <c r="J46" s="59">
        <f>IFERROR(__xludf.DUMMYFUNCTION("""COMPUTED_VALUE"""),8.0)</f>
        <v>8</v>
      </c>
      <c r="K46" s="51"/>
      <c r="L46" s="61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55">
        <f>IFERROR(__xludf.DUMMYFUNCTION("""COMPUTED_VALUE"""),8.0)</f>
        <v>8</v>
      </c>
      <c r="F47" s="55">
        <f>IFERROR(__xludf.DUMMYFUNCTION("""COMPUTED_VALUE"""),2.0)</f>
        <v>2</v>
      </c>
      <c r="G47" s="56"/>
      <c r="H47" s="57">
        <f>IFERROR(__xludf.DUMMYFUNCTION("""COMPUTED_VALUE"""),10.0)</f>
        <v>10</v>
      </c>
      <c r="I47" s="58">
        <f>IFERROR(__xludf.DUMMYFUNCTION("""COMPUTED_VALUE"""),0.0)</f>
        <v>0</v>
      </c>
      <c r="J47" s="59">
        <f>IFERROR(__xludf.DUMMYFUNCTION("""COMPUTED_VALUE"""),10.0)</f>
        <v>10</v>
      </c>
      <c r="K47" s="51"/>
      <c r="L47" s="61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55">
        <f>IFERROR(__xludf.DUMMYFUNCTION("""COMPUTED_VALUE"""),8.0)</f>
        <v>8</v>
      </c>
      <c r="F48" s="55">
        <f>IFERROR(__xludf.DUMMYFUNCTION("""COMPUTED_VALUE"""),2.0)</f>
        <v>2</v>
      </c>
      <c r="G48" s="56"/>
      <c r="H48" s="57">
        <f>IFERROR(__xludf.DUMMYFUNCTION("""COMPUTED_VALUE"""),10.0)</f>
        <v>10</v>
      </c>
      <c r="I48" s="58">
        <f>IFERROR(__xludf.DUMMYFUNCTION("""COMPUTED_VALUE"""),0.0)</f>
        <v>0</v>
      </c>
      <c r="J48" s="59">
        <f>IFERROR(__xludf.DUMMYFUNCTION("""COMPUTED_VALUE"""),10.0)</f>
        <v>10</v>
      </c>
      <c r="K48" s="51"/>
      <c r="L48" s="61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55">
        <f>IFERROR(__xludf.DUMMYFUNCTION("""COMPUTED_VALUE"""),6.0)</f>
        <v>6</v>
      </c>
      <c r="F49" s="55">
        <f>IFERROR(__xludf.DUMMYFUNCTION("""COMPUTED_VALUE"""),2.0)</f>
        <v>2</v>
      </c>
      <c r="G49" s="56"/>
      <c r="H49" s="57">
        <f>IFERROR(__xludf.DUMMYFUNCTION("""COMPUTED_VALUE"""),8.0)</f>
        <v>8</v>
      </c>
      <c r="I49" s="58">
        <f>IFERROR(__xludf.DUMMYFUNCTION("""COMPUTED_VALUE"""),0.0)</f>
        <v>0</v>
      </c>
      <c r="J49" s="59">
        <f>IFERROR(__xludf.DUMMYFUNCTION("""COMPUTED_VALUE"""),8.0)</f>
        <v>8</v>
      </c>
      <c r="K49" s="51"/>
      <c r="L49" s="61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55">
        <f>IFERROR(__xludf.DUMMYFUNCTION("""COMPUTED_VALUE"""),8.0)</f>
        <v>8</v>
      </c>
      <c r="F50" s="55">
        <f>IFERROR(__xludf.DUMMYFUNCTION("""COMPUTED_VALUE"""),2.0)</f>
        <v>2</v>
      </c>
      <c r="G50" s="56"/>
      <c r="H50" s="57">
        <f>IFERROR(__xludf.DUMMYFUNCTION("""COMPUTED_VALUE"""),10.0)</f>
        <v>10</v>
      </c>
      <c r="I50" s="58">
        <f>IFERROR(__xludf.DUMMYFUNCTION("""COMPUTED_VALUE"""),0.0)</f>
        <v>0</v>
      </c>
      <c r="J50" s="59">
        <f>IFERROR(__xludf.DUMMYFUNCTION("""COMPUTED_VALUE"""),10.0)</f>
        <v>10</v>
      </c>
      <c r="K50" s="51"/>
      <c r="L50" s="61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55">
        <f>IFERROR(__xludf.DUMMYFUNCTION("""COMPUTED_VALUE"""),6.0)</f>
        <v>6</v>
      </c>
      <c r="F51" s="55">
        <f>IFERROR(__xludf.DUMMYFUNCTION("""COMPUTED_VALUE"""),2.0)</f>
        <v>2</v>
      </c>
      <c r="G51" s="56"/>
      <c r="H51" s="57">
        <f>IFERROR(__xludf.DUMMYFUNCTION("""COMPUTED_VALUE"""),8.0)</f>
        <v>8</v>
      </c>
      <c r="I51" s="58">
        <f>IFERROR(__xludf.DUMMYFUNCTION("""COMPUTED_VALUE"""),0.0)</f>
        <v>0</v>
      </c>
      <c r="J51" s="59">
        <f>IFERROR(__xludf.DUMMYFUNCTION("""COMPUTED_VALUE"""),8.0)</f>
        <v>8</v>
      </c>
      <c r="K51" s="51"/>
      <c r="L51" s="60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55">
        <f>IFERROR(__xludf.DUMMYFUNCTION("""COMPUTED_VALUE"""),8.0)</f>
        <v>8</v>
      </c>
      <c r="F52" s="55">
        <f>IFERROR(__xludf.DUMMYFUNCTION("""COMPUTED_VALUE"""),2.0)</f>
        <v>2</v>
      </c>
      <c r="G52" s="56"/>
      <c r="H52" s="57">
        <f>IFERROR(__xludf.DUMMYFUNCTION("""COMPUTED_VALUE"""),10.0)</f>
        <v>10</v>
      </c>
      <c r="I52" s="58">
        <f>IFERROR(__xludf.DUMMYFUNCTION("""COMPUTED_VALUE"""),0.0)</f>
        <v>0</v>
      </c>
      <c r="J52" s="59">
        <f>IFERROR(__xludf.DUMMYFUNCTION("""COMPUTED_VALUE"""),10.0)</f>
        <v>10</v>
      </c>
      <c r="K52" s="51"/>
      <c r="L52" s="60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55">
        <f>IFERROR(__xludf.DUMMYFUNCTION("""COMPUTED_VALUE"""),8.0)</f>
        <v>8</v>
      </c>
      <c r="F53" s="55">
        <f>IFERROR(__xludf.DUMMYFUNCTION("""COMPUTED_VALUE"""),2.0)</f>
        <v>2</v>
      </c>
      <c r="G53" s="56"/>
      <c r="H53" s="57">
        <f>IFERROR(__xludf.DUMMYFUNCTION("""COMPUTED_VALUE"""),10.0)</f>
        <v>10</v>
      </c>
      <c r="I53" s="58">
        <f>IFERROR(__xludf.DUMMYFUNCTION("""COMPUTED_VALUE"""),0.0)</f>
        <v>0</v>
      </c>
      <c r="J53" s="59">
        <f>IFERROR(__xludf.DUMMYFUNCTION("""COMPUTED_VALUE"""),10.0)</f>
        <v>10</v>
      </c>
      <c r="K53" s="51"/>
      <c r="L53" s="60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55">
        <f>IFERROR(__xludf.DUMMYFUNCTION("""COMPUTED_VALUE"""),8.0)</f>
        <v>8</v>
      </c>
      <c r="F54" s="55">
        <f>IFERROR(__xludf.DUMMYFUNCTION("""COMPUTED_VALUE"""),2.0)</f>
        <v>2</v>
      </c>
      <c r="G54" s="56"/>
      <c r="H54" s="57">
        <f>IFERROR(__xludf.DUMMYFUNCTION("""COMPUTED_VALUE"""),10.0)</f>
        <v>10</v>
      </c>
      <c r="I54" s="68">
        <f>IFERROR(__xludf.DUMMYFUNCTION("""COMPUTED_VALUE"""),0.0)</f>
        <v>0</v>
      </c>
      <c r="J54" s="59">
        <f>IFERROR(__xludf.DUMMYFUNCTION("""COMPUTED_VALUE"""),10.0)</f>
        <v>10</v>
      </c>
      <c r="K54" s="51"/>
      <c r="L54" s="60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55">
        <f>IFERROR(__xludf.DUMMYFUNCTION("""COMPUTED_VALUE"""),8.0)</f>
        <v>8</v>
      </c>
      <c r="F55" s="55">
        <f>IFERROR(__xludf.DUMMYFUNCTION("""COMPUTED_VALUE"""),2.0)</f>
        <v>2</v>
      </c>
      <c r="G55" s="56"/>
      <c r="H55" s="57">
        <f>IFERROR(__xludf.DUMMYFUNCTION("""COMPUTED_VALUE"""),10.0)</f>
        <v>10</v>
      </c>
      <c r="I55" s="68">
        <f>IFERROR(__xludf.DUMMYFUNCTION("""COMPUTED_VALUE"""),0.0)</f>
        <v>0</v>
      </c>
      <c r="J55" s="59">
        <f>IFERROR(__xludf.DUMMYFUNCTION("""COMPUTED_VALUE"""),10.0)</f>
        <v>10</v>
      </c>
      <c r="K55" s="51"/>
      <c r="L55" s="60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55">
        <f>IFERROR(__xludf.DUMMYFUNCTION("""COMPUTED_VALUE"""),8.0)</f>
        <v>8</v>
      </c>
      <c r="F56" s="55">
        <f>IFERROR(__xludf.DUMMYFUNCTION("""COMPUTED_VALUE"""),2.0)</f>
        <v>2</v>
      </c>
      <c r="G56" s="56"/>
      <c r="H56" s="57">
        <f>IFERROR(__xludf.DUMMYFUNCTION("""COMPUTED_VALUE"""),10.0)</f>
        <v>10</v>
      </c>
      <c r="I56" s="68">
        <f>IFERROR(__xludf.DUMMYFUNCTION("""COMPUTED_VALUE"""),0.0)</f>
        <v>0</v>
      </c>
      <c r="J56" s="59">
        <f>IFERROR(__xludf.DUMMYFUNCTION("""COMPUTED_VALUE"""),10.0)</f>
        <v>10</v>
      </c>
      <c r="K56" s="51"/>
      <c r="L56" s="60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55">
        <f>IFERROR(__xludf.DUMMYFUNCTION("""COMPUTED_VALUE"""),8.0)</f>
        <v>8</v>
      </c>
      <c r="F57" s="55">
        <f>IFERROR(__xludf.DUMMYFUNCTION("""COMPUTED_VALUE"""),2.0)</f>
        <v>2</v>
      </c>
      <c r="G57" s="56"/>
      <c r="H57" s="57">
        <f>IFERROR(__xludf.DUMMYFUNCTION("""COMPUTED_VALUE"""),10.0)</f>
        <v>10</v>
      </c>
      <c r="I57" s="68">
        <f>IFERROR(__xludf.DUMMYFUNCTION("""COMPUTED_VALUE"""),0.0)</f>
        <v>0</v>
      </c>
      <c r="J57" s="59">
        <f>IFERROR(__xludf.DUMMYFUNCTION("""COMPUTED_VALUE"""),10.0)</f>
        <v>10</v>
      </c>
      <c r="K57" s="51"/>
      <c r="L57" s="60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55">
        <f>IFERROR(__xludf.DUMMYFUNCTION("""COMPUTED_VALUE"""),8.0)</f>
        <v>8</v>
      </c>
      <c r="F58" s="55">
        <f>IFERROR(__xludf.DUMMYFUNCTION("""COMPUTED_VALUE"""),2.0)</f>
        <v>2</v>
      </c>
      <c r="G58" s="56"/>
      <c r="H58" s="57">
        <f>IFERROR(__xludf.DUMMYFUNCTION("""COMPUTED_VALUE"""),10.0)</f>
        <v>10</v>
      </c>
      <c r="I58" s="68">
        <f>IFERROR(__xludf.DUMMYFUNCTION("""COMPUTED_VALUE"""),0.0)</f>
        <v>0</v>
      </c>
      <c r="J58" s="59">
        <f>IFERROR(__xludf.DUMMYFUNCTION("""COMPUTED_VALUE"""),10.0)</f>
        <v>10</v>
      </c>
      <c r="K58" s="51"/>
      <c r="L58" s="60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55">
        <f>IFERROR(__xludf.DUMMYFUNCTION("""COMPUTED_VALUE"""),8.0)</f>
        <v>8</v>
      </c>
      <c r="F59" s="55">
        <f>IFERROR(__xludf.DUMMYFUNCTION("""COMPUTED_VALUE"""),2.0)</f>
        <v>2</v>
      </c>
      <c r="G59" s="56"/>
      <c r="H59" s="57">
        <f>IFERROR(__xludf.DUMMYFUNCTION("""COMPUTED_VALUE"""),10.0)</f>
        <v>10</v>
      </c>
      <c r="I59" s="68">
        <f>IFERROR(__xludf.DUMMYFUNCTION("""COMPUTED_VALUE"""),0.0)</f>
        <v>0</v>
      </c>
      <c r="J59" s="59">
        <f>IFERROR(__xludf.DUMMYFUNCTION("""COMPUTED_VALUE"""),10.0)</f>
        <v>10</v>
      </c>
      <c r="K59" s="51"/>
      <c r="L59" s="60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55">
        <f>IFERROR(__xludf.DUMMYFUNCTION("""COMPUTED_VALUE"""),8.0)</f>
        <v>8</v>
      </c>
      <c r="F60" s="55">
        <f>IFERROR(__xludf.DUMMYFUNCTION("""COMPUTED_VALUE"""),2.0)</f>
        <v>2</v>
      </c>
      <c r="G60" s="56"/>
      <c r="H60" s="57">
        <f>IFERROR(__xludf.DUMMYFUNCTION("""COMPUTED_VALUE"""),10.0)</f>
        <v>10</v>
      </c>
      <c r="I60" s="68">
        <f>IFERROR(__xludf.DUMMYFUNCTION("""COMPUTED_VALUE"""),0.0)</f>
        <v>0</v>
      </c>
      <c r="J60" s="59">
        <f>IFERROR(__xludf.DUMMYFUNCTION("""COMPUTED_VALUE"""),10.0)</f>
        <v>10</v>
      </c>
      <c r="K60" s="51"/>
      <c r="L60" s="60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55">
        <f>IFERROR(__xludf.DUMMYFUNCTION("""COMPUTED_VALUE"""),8.0)</f>
        <v>8</v>
      </c>
      <c r="F61" s="55">
        <f>IFERROR(__xludf.DUMMYFUNCTION("""COMPUTED_VALUE"""),2.0)</f>
        <v>2</v>
      </c>
      <c r="G61" s="56"/>
      <c r="H61" s="57">
        <f>IFERROR(__xludf.DUMMYFUNCTION("""COMPUTED_VALUE"""),10.0)</f>
        <v>10</v>
      </c>
      <c r="I61" s="68">
        <f>IFERROR(__xludf.DUMMYFUNCTION("""COMPUTED_VALUE"""),0.0)</f>
        <v>0</v>
      </c>
      <c r="J61" s="59">
        <f>IFERROR(__xludf.DUMMYFUNCTION("""COMPUTED_VALUE"""),10.0)</f>
        <v>10</v>
      </c>
      <c r="K61" s="51"/>
      <c r="L61" s="60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55">
        <f>IFERROR(__xludf.DUMMYFUNCTION("""COMPUTED_VALUE"""),8.0)</f>
        <v>8</v>
      </c>
      <c r="F62" s="55">
        <f>IFERROR(__xludf.DUMMYFUNCTION("""COMPUTED_VALUE"""),2.0)</f>
        <v>2</v>
      </c>
      <c r="G62" s="56"/>
      <c r="H62" s="57">
        <f>IFERROR(__xludf.DUMMYFUNCTION("""COMPUTED_VALUE"""),10.0)</f>
        <v>10</v>
      </c>
      <c r="I62" s="68">
        <f>IFERROR(__xludf.DUMMYFUNCTION("""COMPUTED_VALUE"""),0.0)</f>
        <v>0</v>
      </c>
      <c r="J62" s="59">
        <f>IFERROR(__xludf.DUMMYFUNCTION("""COMPUTED_VALUE"""),10.0)</f>
        <v>10</v>
      </c>
      <c r="K62" s="51"/>
      <c r="L62" s="60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55">
        <f>IFERROR(__xludf.DUMMYFUNCTION("""COMPUTED_VALUE"""),8.0)</f>
        <v>8</v>
      </c>
      <c r="F63" s="55">
        <f>IFERROR(__xludf.DUMMYFUNCTION("""COMPUTED_VALUE"""),2.0)</f>
        <v>2</v>
      </c>
      <c r="G63" s="56"/>
      <c r="H63" s="57">
        <f>IFERROR(__xludf.DUMMYFUNCTION("""COMPUTED_VALUE"""),10.0)</f>
        <v>10</v>
      </c>
      <c r="I63" s="68">
        <f>IFERROR(__xludf.DUMMYFUNCTION("""COMPUTED_VALUE"""),0.0)</f>
        <v>0</v>
      </c>
      <c r="J63" s="59">
        <f>IFERROR(__xludf.DUMMYFUNCTION("""COMPUTED_VALUE"""),10.0)</f>
        <v>10</v>
      </c>
      <c r="K63" s="51"/>
      <c r="L63" s="60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70"/>
      <c r="C64" s="70"/>
      <c r="D64" s="70"/>
      <c r="E64" s="71"/>
      <c r="F64" s="70"/>
      <c r="G64" s="70"/>
      <c r="H64" s="70"/>
      <c r="I64" s="70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2"/>
      <c r="B65" s="73" t="str">
        <f>IFERROR(__xludf.DUMMYFUNCTION("""COMPUTED_VALUE"""),"No. DE ALUMNOS INSCRITOS")</f>
        <v>No. DE ALUMNOS INSCRITOS</v>
      </c>
      <c r="C65" s="74"/>
      <c r="D65" s="75">
        <f>IFERROR(__xludf.DUMMYFUNCTION("""COMPUTED_VALUE"""),47.0)</f>
        <v>47</v>
      </c>
      <c r="E65" s="70"/>
      <c r="F65" s="76" t="str">
        <f>IFERROR(__xludf.DUMMYFUNCTION("""COMPUTED_VALUE"""),"FIRMA DEL PROFESOR")</f>
        <v>FIRMA DEL PROFESOR</v>
      </c>
      <c r="G65" s="77"/>
      <c r="H65" s="76" t="str">
        <f>IFERROR(__xludf.DUMMYFUNCTION("""COMPUTED_VALUE"""),"FIRMA DEL ORIENTADOR")</f>
        <v>FIRMA DEL ORIENTADOR</v>
      </c>
      <c r="J65" s="78" t="str">
        <f>IFERROR(__xludf.DUMMYFUNCTION("""COMPUTED_VALUE"""),"Vo. Bo. SUBDIRECCIÓN ESCOLAR")</f>
        <v>Vo. Bo. SUBDIRECCIÓN ESCOLAR</v>
      </c>
      <c r="K65" s="79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2"/>
      <c r="B66" s="80" t="str">
        <f>IFERROR(__xludf.DUMMYFUNCTION("""COMPUTED_VALUE"""),"BAJAS DURANTE EL SEMESTRE")</f>
        <v>BAJAS DURANTE EL SEMESTRE</v>
      </c>
      <c r="C66" s="81"/>
      <c r="D66" s="82">
        <f>IFERROR(__xludf.DUMMYFUNCTION("""COMPUTED_VALUE"""),0.0)</f>
        <v>0</v>
      </c>
      <c r="E66" s="70"/>
      <c r="G66" s="77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2"/>
      <c r="B67" s="80" t="str">
        <f>IFERROR(__xludf.DUMMYFUNCTION("""COMPUTED_VALUE"""),"EXISTENCIA")</f>
        <v>EXISTENCIA</v>
      </c>
      <c r="C67" s="81"/>
      <c r="D67" s="83">
        <f>IFERROR(__xludf.DUMMYFUNCTION("""COMPUTED_VALUE"""),47.0)</f>
        <v>47</v>
      </c>
      <c r="E67" s="70"/>
      <c r="F67" s="84"/>
      <c r="G67" s="85"/>
      <c r="H67" s="84"/>
      <c r="I67" s="84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2"/>
      <c r="B68" s="80" t="str">
        <f>IFERROR(__xludf.DUMMYFUNCTION("""COMPUTED_VALUE"""),"No. DE ALUMNOS APROBADOS")</f>
        <v>No. DE ALUMNOS APROBADOS</v>
      </c>
      <c r="C68" s="81"/>
      <c r="D68" s="88">
        <f>IFERROR(__xludf.DUMMYFUNCTION("""COMPUTED_VALUE"""),46.0)</f>
        <v>46</v>
      </c>
      <c r="E68" s="70"/>
      <c r="F68" s="84"/>
      <c r="G68" s="85"/>
      <c r="H68" s="84"/>
      <c r="I68" s="84"/>
      <c r="J68" s="86"/>
      <c r="K68" s="8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2"/>
      <c r="B69" s="80" t="str">
        <f>IFERROR(__xludf.DUMMYFUNCTION("""COMPUTED_VALUE"""),"No. DE ALUMNOS REPROBADOS")</f>
        <v>No. DE ALUMNOS REPROBADOS</v>
      </c>
      <c r="C69" s="81"/>
      <c r="D69" s="88">
        <f>IFERROR(__xludf.DUMMYFUNCTION("""COMPUTED_VALUE"""),1.0)</f>
        <v>1</v>
      </c>
      <c r="E69" s="70"/>
      <c r="F69" s="89"/>
      <c r="G69" s="85"/>
      <c r="H69" s="89"/>
      <c r="I69" s="89"/>
      <c r="J69" s="90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2"/>
      <c r="B70" s="80" t="str">
        <f>IFERROR(__xludf.DUMMYFUNCTION("""COMPUTED_VALUE"""),"% DE APROBADOS")</f>
        <v>% DE APROBADOS</v>
      </c>
      <c r="C70" s="81"/>
      <c r="D70" s="92">
        <f>IFERROR(__xludf.DUMMYFUNCTION("""COMPUTED_VALUE"""),97.87234042553192)</f>
        <v>97.87234043</v>
      </c>
      <c r="E70" s="70"/>
      <c r="F70" s="93" t="str">
        <f>IFERROR(__xludf.DUMMYFUNCTION("""COMPUTED_VALUE"""),"PROFR. ")</f>
        <v>PROFR. </v>
      </c>
      <c r="G70" s="94"/>
      <c r="H70" s="95" t="str">
        <f>IFERROR(__xludf.DUMMYFUNCTION("""COMPUTED_VALUE"""),"PROFRA. ANA ISABEL CORREA SALGADO")</f>
        <v>PROFRA. ANA ISABEL CORREA SALGADO</v>
      </c>
      <c r="J70" s="96" t="str">
        <f>IFERROR(__xludf.DUMMYFUNCTION("""COMPUTED_VALUE"""),"PROFR. OCTAVIO VÁZQUEZ BARRETO")</f>
        <v>PROFR. OCTAVIO VÁZQUEZ BARRETO</v>
      </c>
      <c r="K70" s="97" t="str">
        <f>IFERROR(__xludf.DUMMYFUNCTION("""COMPUTED_VALUE"""),"PROFR. ROBERTO PALOMARES MEJÍA ")</f>
        <v>PROFR. ROBERTO PALOMARES MEJÍA </v>
      </c>
      <c r="L70" s="9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2"/>
      <c r="B71" s="99" t="str">
        <f>IFERROR(__xludf.DUMMYFUNCTION("""COMPUTED_VALUE"""),"PROMEDIO")</f>
        <v>PROMEDIO</v>
      </c>
      <c r="C71" s="100"/>
      <c r="D71" s="101">
        <f>IFERROR(__xludf.DUMMYFUNCTION("""COMPUTED_VALUE"""),9.27659574468085)</f>
        <v>9.276595745</v>
      </c>
      <c r="E71" s="70"/>
      <c r="G71" s="94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2"/>
      <c r="B73" s="103"/>
      <c r="C73" s="104"/>
      <c r="D73" s="104"/>
      <c r="E73" s="70"/>
      <c r="G73" s="7"/>
      <c r="H73" s="7"/>
      <c r="I73" s="7"/>
      <c r="J73" s="7"/>
      <c r="K73" s="105"/>
      <c r="L73" s="10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7"/>
      <c r="B74" s="70"/>
      <c r="C74" s="70"/>
      <c r="D74" s="70"/>
      <c r="E74" s="7"/>
      <c r="F74" s="1"/>
      <c r="G74" s="1"/>
      <c r="H74" s="1"/>
      <c r="I74" s="1"/>
      <c r="J74" s="1"/>
      <c r="K74" s="8"/>
      <c r="L74" s="10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7"/>
      <c r="B75" s="70"/>
      <c r="C75" s="70"/>
      <c r="D75" s="70"/>
      <c r="E75" s="7"/>
      <c r="F75" s="1"/>
      <c r="G75" s="1"/>
      <c r="H75" s="1"/>
      <c r="I75" s="1"/>
      <c r="J75" s="1"/>
      <c r="K75" s="8"/>
      <c r="L75" s="10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9"/>
      <c r="B76" s="110"/>
      <c r="C76" s="110"/>
      <c r="D76" s="110"/>
      <c r="E76" s="111"/>
      <c r="F76" s="112"/>
      <c r="G76" s="112"/>
      <c r="H76" s="112"/>
      <c r="I76" s="112"/>
      <c r="J76" s="112"/>
      <c r="K76" s="113"/>
      <c r="L76" s="10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4"/>
      <c r="C77" s="114"/>
      <c r="D77" s="114"/>
      <c r="E77" s="114"/>
      <c r="F77" s="1"/>
      <c r="G77" s="1"/>
      <c r="H77" s="1"/>
      <c r="I77" s="1"/>
      <c r="J77" s="115"/>
      <c r="K77" s="115"/>
      <c r="L77" s="1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4"/>
      <c r="C78" s="114"/>
      <c r="D78" s="114"/>
      <c r="E78" s="114"/>
      <c r="F78" s="1"/>
      <c r="G78" s="1"/>
      <c r="H78" s="1"/>
      <c r="I78" s="1"/>
      <c r="J78" s="115"/>
      <c r="K78" s="115"/>
      <c r="L78" s="1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4"/>
      <c r="C79" s="114"/>
      <c r="D79" s="114"/>
      <c r="E79" s="114"/>
      <c r="F79" s="1"/>
      <c r="G79" s="1"/>
      <c r="H79" s="1"/>
      <c r="I79" s="1"/>
      <c r="J79" s="115"/>
      <c r="K79" s="115"/>
      <c r="L79" s="1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4"/>
      <c r="C80" s="114"/>
      <c r="D80" s="114"/>
      <c r="E80" s="114"/>
      <c r="F80" s="1"/>
      <c r="G80" s="1"/>
      <c r="H80" s="1"/>
      <c r="I80" s="1"/>
      <c r="J80" s="115"/>
      <c r="K80" s="115"/>
      <c r="L80" s="1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4"/>
      <c r="C81" s="114"/>
      <c r="D81" s="114"/>
      <c r="E81" s="1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4"/>
      <c r="C82" s="114"/>
      <c r="D82" s="114"/>
      <c r="E82" s="114"/>
      <c r="F82" s="1"/>
      <c r="G82" s="1"/>
      <c r="H82" s="1"/>
      <c r="I82" s="1"/>
      <c r="J82" s="1"/>
      <c r="K82" s="11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4"/>
      <c r="C83" s="114"/>
      <c r="D83" s="114"/>
      <c r="E83" s="1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4"/>
      <c r="C84" s="114"/>
      <c r="D84" s="114"/>
      <c r="E84" s="1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4"/>
      <c r="C85" s="114"/>
      <c r="D85" s="114"/>
      <c r="E85" s="1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4"/>
      <c r="C86" s="114"/>
      <c r="D86" s="114"/>
      <c r="E86" s="1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4"/>
      <c r="C87" s="114"/>
      <c r="D87" s="114"/>
      <c r="E87" s="1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4"/>
      <c r="C88" s="114"/>
      <c r="D88" s="114"/>
      <c r="E88" s="1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IFERROR(__xludf.DUMMYFUNCTION("IMPORTRANGE(""https://docs.google.com/spreadsheets/d/1gWm5grlICJTE9yzh0EdKexQ0PnWg6cx3Djpo_7ER3Ig/edit?gid=1245166046#gid=1245166046"",""2-1 ciencias sociales iii!a1:q86"")"),"")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IFERROR(__xludf.DUMMYFUNCTION("""COMPUTED_VALUE"""),"MA. GUADALUPE GRANADOS DE LOERA")</f>
        <v>MA. GUADALUPE GRANADOS DE LOERA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IFERROR(__xludf.DUMMYFUNCTION("""COMPUTED_VALUE"""),"CIENCIAS SOCIALES III")</f>
        <v>CIENCIAS SOCIALES III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/>
      <c r="F17" s="155"/>
      <c r="G17" s="155"/>
      <c r="H17" s="156">
        <f>IFERROR(__xludf.DUMMYFUNCTION("""COMPUTED_VALUE"""),0.0)</f>
        <v>0</v>
      </c>
      <c r="I17" s="157">
        <f>IFERROR(__xludf.DUMMYFUNCTION("""COMPUTED_VALUE"""),0.0)</f>
        <v>0</v>
      </c>
      <c r="J17" s="158">
        <f>IFERROR(__xludf.DUMMYFUNCTION("""COMPUTED_VALUE"""),10.0)</f>
        <v>10</v>
      </c>
      <c r="K17" s="159"/>
      <c r="L17" s="160">
        <f>IFERROR(__xludf.DUMMYFUNCTION("""COMPUTED_VALUE"""),0.0)</f>
        <v>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/>
      <c r="F18" s="155"/>
      <c r="G18" s="155"/>
      <c r="H18" s="156">
        <f>IFERROR(__xludf.DUMMYFUNCTION("""COMPUTED_VALUE"""),0.0)</f>
        <v>0</v>
      </c>
      <c r="I18" s="157">
        <f>IFERROR(__xludf.DUMMYFUNCTION("""COMPUTED_VALUE"""),0.0)</f>
        <v>0</v>
      </c>
      <c r="J18" s="158">
        <f>IFERROR(__xludf.DUMMYFUNCTION("""COMPUTED_VALUE"""),10.0)</f>
        <v>10</v>
      </c>
      <c r="K18" s="157"/>
      <c r="L18" s="160">
        <f>IFERROR(__xludf.DUMMYFUNCTION("""COMPUTED_VALUE"""),0.0)</f>
        <v>0</v>
      </c>
      <c r="M18" s="121" t="str">
        <f>IFERROR(__xludf.DUMMYFUNCTION("""COMPUTED_VALUE"""),"Febrero")</f>
        <v>Febrero</v>
      </c>
      <c r="N18" s="121">
        <f>IFERROR(__xludf.DUMMYFUNCTION("""COMPUTED_VALUE"""),6.0)</f>
        <v>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/>
      <c r="F19" s="155"/>
      <c r="G19" s="155"/>
      <c r="H19" s="156">
        <f>IFERROR(__xludf.DUMMYFUNCTION("""COMPUTED_VALUE"""),0.0)</f>
        <v>0</v>
      </c>
      <c r="I19" s="157">
        <f>IFERROR(__xludf.DUMMYFUNCTION("""COMPUTED_VALUE"""),0.0)</f>
        <v>0</v>
      </c>
      <c r="J19" s="158">
        <f>IFERROR(__xludf.DUMMYFUNCTION("""COMPUTED_VALUE"""),10.0)</f>
        <v>10</v>
      </c>
      <c r="K19" s="157"/>
      <c r="L19" s="160">
        <f>IFERROR(__xludf.DUMMYFUNCTION("""COMPUTED_VALUE"""),0.0)</f>
        <v>0</v>
      </c>
      <c r="M19" s="121" t="str">
        <f>IFERROR(__xludf.DUMMYFUNCTION("""COMPUTED_VALUE"""),"Marzo")</f>
        <v>Marzo</v>
      </c>
      <c r="N19" s="121">
        <f>IFERROR(__xludf.DUMMYFUNCTION("""COMPUTED_VALUE"""),10.0)</f>
        <v>10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/>
      <c r="F20" s="155"/>
      <c r="G20" s="155"/>
      <c r="H20" s="156">
        <f>IFERROR(__xludf.DUMMYFUNCTION("""COMPUTED_VALUE"""),0.0)</f>
        <v>0</v>
      </c>
      <c r="I20" s="157">
        <f>IFERROR(__xludf.DUMMYFUNCTION("""COMPUTED_VALUE"""),1.0)</f>
        <v>1</v>
      </c>
      <c r="J20" s="158">
        <f>IFERROR(__xludf.DUMMYFUNCTION("""COMPUTED_VALUE"""),10.0)</f>
        <v>10</v>
      </c>
      <c r="K20" s="157"/>
      <c r="L20" s="160">
        <f>IFERROR(__xludf.DUMMYFUNCTION("""COMPUTED_VALUE"""),0.0)</f>
        <v>0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/>
      <c r="F21" s="155"/>
      <c r="G21" s="155"/>
      <c r="H21" s="156">
        <f>IFERROR(__xludf.DUMMYFUNCTION("""COMPUTED_VALUE"""),0.0)</f>
        <v>0</v>
      </c>
      <c r="I21" s="157">
        <f>IFERROR(__xludf.DUMMYFUNCTION("""COMPUTED_VALUE"""),2.0)</f>
        <v>2</v>
      </c>
      <c r="J21" s="158">
        <f>IFERROR(__xludf.DUMMYFUNCTION("""COMPUTED_VALUE"""),10.0)</f>
        <v>10</v>
      </c>
      <c r="K21" s="157"/>
      <c r="L21" s="160">
        <f>IFERROR(__xludf.DUMMYFUNCTION("""COMPUTED_VALUE"""),0.0)</f>
        <v>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/>
      <c r="F22" s="155"/>
      <c r="G22" s="155"/>
      <c r="H22" s="156">
        <f>IFERROR(__xludf.DUMMYFUNCTION("""COMPUTED_VALUE"""),0.0)</f>
        <v>0</v>
      </c>
      <c r="I22" s="157">
        <f>IFERROR(__xludf.DUMMYFUNCTION("""COMPUTED_VALUE"""),0.0)</f>
        <v>0</v>
      </c>
      <c r="J22" s="158">
        <f>IFERROR(__xludf.DUMMYFUNCTION("""COMPUTED_VALUE"""),10.0)</f>
        <v>10</v>
      </c>
      <c r="K22" s="157"/>
      <c r="L22" s="160">
        <f>IFERROR(__xludf.DUMMYFUNCTION("""COMPUTED_VALUE"""),0.0)</f>
        <v>0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/>
      <c r="F23" s="155"/>
      <c r="G23" s="155"/>
      <c r="H23" s="156">
        <f>IFERROR(__xludf.DUMMYFUNCTION("""COMPUTED_VALUE"""),0.0)</f>
        <v>0</v>
      </c>
      <c r="I23" s="157">
        <f>IFERROR(__xludf.DUMMYFUNCTION("""COMPUTED_VALUE"""),1.0)</f>
        <v>1</v>
      </c>
      <c r="J23" s="158">
        <f>IFERROR(__xludf.DUMMYFUNCTION("""COMPUTED_VALUE"""),9.0)</f>
        <v>9</v>
      </c>
      <c r="K23" s="157"/>
      <c r="L23" s="160">
        <f>IFERROR(__xludf.DUMMYFUNCTION("""COMPUTED_VALUE"""),0.0)</f>
        <v>0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/>
      <c r="F24" s="155"/>
      <c r="G24" s="155"/>
      <c r="H24" s="156">
        <f>IFERROR(__xludf.DUMMYFUNCTION("""COMPUTED_VALUE"""),0.0)</f>
        <v>0</v>
      </c>
      <c r="I24" s="157">
        <f>IFERROR(__xludf.DUMMYFUNCTION("""COMPUTED_VALUE"""),0.0)</f>
        <v>0</v>
      </c>
      <c r="J24" s="158">
        <f>IFERROR(__xludf.DUMMYFUNCTION("""COMPUTED_VALUE"""),10.0)</f>
        <v>10</v>
      </c>
      <c r="K24" s="157"/>
      <c r="L24" s="160">
        <f>IFERROR(__xludf.DUMMYFUNCTION("""COMPUTED_VALUE"""),0.0)</f>
        <v>0</v>
      </c>
      <c r="M24" s="121" t="str">
        <f>IFERROR(__xludf.DUMMYFUNCTION("""COMPUTED_VALUE"""),"TOTAL")</f>
        <v>TOTAL</v>
      </c>
      <c r="N24" s="121">
        <f>IFERROR(__xludf.DUMMYFUNCTION("""COMPUTED_VALUE"""),16.0)</f>
        <v>16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/>
      <c r="F25" s="155"/>
      <c r="G25" s="155"/>
      <c r="H25" s="156">
        <f>IFERROR(__xludf.DUMMYFUNCTION("""COMPUTED_VALUE"""),0.0)</f>
        <v>0</v>
      </c>
      <c r="I25" s="157">
        <f>IFERROR(__xludf.DUMMYFUNCTION("""COMPUTED_VALUE"""),0.0)</f>
        <v>0</v>
      </c>
      <c r="J25" s="158">
        <f>IFERROR(__xludf.DUMMYFUNCTION("""COMPUTED_VALUE"""),10.0)</f>
        <v>10</v>
      </c>
      <c r="K25" s="157"/>
      <c r="L25" s="160">
        <f>IFERROR(__xludf.DUMMYFUNCTION("""COMPUTED_VALUE"""),0.0)</f>
        <v>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/>
      <c r="F26" s="155"/>
      <c r="G26" s="155"/>
      <c r="H26" s="156">
        <f>IFERROR(__xludf.DUMMYFUNCTION("""COMPUTED_VALUE"""),0.0)</f>
        <v>0</v>
      </c>
      <c r="I26" s="157">
        <f>IFERROR(__xludf.DUMMYFUNCTION("""COMPUTED_VALUE"""),1.0)</f>
        <v>1</v>
      </c>
      <c r="J26" s="158">
        <f>IFERROR(__xludf.DUMMYFUNCTION("""COMPUTED_VALUE"""),6.0)</f>
        <v>6</v>
      </c>
      <c r="K26" s="157"/>
      <c r="L26" s="160">
        <f>IFERROR(__xludf.DUMMYFUNCTION("""COMPUTED_VALUE"""),0.0)</f>
        <v>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/>
      <c r="F27" s="155"/>
      <c r="G27" s="155"/>
      <c r="H27" s="156">
        <f>IFERROR(__xludf.DUMMYFUNCTION("""COMPUTED_VALUE"""),0.0)</f>
        <v>0</v>
      </c>
      <c r="I27" s="157">
        <f>IFERROR(__xludf.DUMMYFUNCTION("""COMPUTED_VALUE"""),1.0)</f>
        <v>1</v>
      </c>
      <c r="J27" s="158">
        <f>IFERROR(__xludf.DUMMYFUNCTION("""COMPUTED_VALUE"""),10.0)</f>
        <v>10</v>
      </c>
      <c r="K27" s="157"/>
      <c r="L27" s="160">
        <f>IFERROR(__xludf.DUMMYFUNCTION("""COMPUTED_VALUE"""),0.0)</f>
        <v>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/>
      <c r="F28" s="155"/>
      <c r="G28" s="155"/>
      <c r="H28" s="156">
        <f>IFERROR(__xludf.DUMMYFUNCTION("""COMPUTED_VALUE"""),0.0)</f>
        <v>0</v>
      </c>
      <c r="I28" s="157">
        <f>IFERROR(__xludf.DUMMYFUNCTION("""COMPUTED_VALUE"""),0.0)</f>
        <v>0</v>
      </c>
      <c r="J28" s="158">
        <f>IFERROR(__xludf.DUMMYFUNCTION("""COMPUTED_VALUE"""),10.0)</f>
        <v>10</v>
      </c>
      <c r="K28" s="157"/>
      <c r="L28" s="160">
        <f>IFERROR(__xludf.DUMMYFUNCTION("""COMPUTED_VALUE"""),0.0)</f>
        <v>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/>
      <c r="F29" s="155"/>
      <c r="G29" s="155"/>
      <c r="H29" s="156">
        <f>IFERROR(__xludf.DUMMYFUNCTION("""COMPUTED_VALUE"""),0.0)</f>
        <v>0</v>
      </c>
      <c r="I29" s="157">
        <f>IFERROR(__xludf.DUMMYFUNCTION("""COMPUTED_VALUE"""),1.0)</f>
        <v>1</v>
      </c>
      <c r="J29" s="158">
        <f>IFERROR(__xludf.DUMMYFUNCTION("""COMPUTED_VALUE"""),8.0)</f>
        <v>8</v>
      </c>
      <c r="K29" s="157"/>
      <c r="L29" s="160">
        <f>IFERROR(__xludf.DUMMYFUNCTION("""COMPUTED_VALUE"""),0.0)</f>
        <v>0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/>
      <c r="F30" s="155"/>
      <c r="G30" s="155"/>
      <c r="H30" s="156">
        <f>IFERROR(__xludf.DUMMYFUNCTION("""COMPUTED_VALUE"""),0.0)</f>
        <v>0</v>
      </c>
      <c r="I30" s="157">
        <f>IFERROR(__xludf.DUMMYFUNCTION("""COMPUTED_VALUE"""),2.0)</f>
        <v>2</v>
      </c>
      <c r="J30" s="158">
        <f>IFERROR(__xludf.DUMMYFUNCTION("""COMPUTED_VALUE"""),5.0)</f>
        <v>5</v>
      </c>
      <c r="K30" s="157"/>
      <c r="L30" s="160">
        <f>IFERROR(__xludf.DUMMYFUNCTION("""COMPUTED_VALUE"""),0.0)</f>
        <v>0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/>
      <c r="F31" s="155"/>
      <c r="G31" s="155"/>
      <c r="H31" s="156">
        <f>IFERROR(__xludf.DUMMYFUNCTION("""COMPUTED_VALUE"""),0.0)</f>
        <v>0</v>
      </c>
      <c r="I31" s="157">
        <f>IFERROR(__xludf.DUMMYFUNCTION("""COMPUTED_VALUE"""),1.0)</f>
        <v>1</v>
      </c>
      <c r="J31" s="158">
        <f>IFERROR(__xludf.DUMMYFUNCTION("""COMPUTED_VALUE"""),10.0)</f>
        <v>10</v>
      </c>
      <c r="K31" s="157"/>
      <c r="L31" s="160">
        <f>IFERROR(__xludf.DUMMYFUNCTION("""COMPUTED_VALUE"""),0.0)</f>
        <v>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/>
      <c r="F32" s="155"/>
      <c r="G32" s="155"/>
      <c r="H32" s="156">
        <f>IFERROR(__xludf.DUMMYFUNCTION("""COMPUTED_VALUE"""),0.0)</f>
        <v>0</v>
      </c>
      <c r="I32" s="157">
        <f>IFERROR(__xludf.DUMMYFUNCTION("""COMPUTED_VALUE"""),0.0)</f>
        <v>0</v>
      </c>
      <c r="J32" s="158">
        <f>IFERROR(__xludf.DUMMYFUNCTION("""COMPUTED_VALUE"""),10.0)</f>
        <v>10</v>
      </c>
      <c r="K32" s="157"/>
      <c r="L32" s="160">
        <f>IFERROR(__xludf.DUMMYFUNCTION("""COMPUTED_VALUE"""),0.0)</f>
        <v>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/>
      <c r="F33" s="155"/>
      <c r="G33" s="155"/>
      <c r="H33" s="156">
        <f>IFERROR(__xludf.DUMMYFUNCTION("""COMPUTED_VALUE"""),0.0)</f>
        <v>0</v>
      </c>
      <c r="I33" s="157">
        <f>IFERROR(__xludf.DUMMYFUNCTION("""COMPUTED_VALUE"""),0.0)</f>
        <v>0</v>
      </c>
      <c r="J33" s="158">
        <f>IFERROR(__xludf.DUMMYFUNCTION("""COMPUTED_VALUE"""),10.0)</f>
        <v>10</v>
      </c>
      <c r="K33" s="157"/>
      <c r="L33" s="160">
        <f>IFERROR(__xludf.DUMMYFUNCTION("""COMPUTED_VALUE"""),0.0)</f>
        <v>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/>
      <c r="F34" s="155"/>
      <c r="G34" s="155"/>
      <c r="H34" s="156">
        <f>IFERROR(__xludf.DUMMYFUNCTION("""COMPUTED_VALUE"""),0.0)</f>
        <v>0</v>
      </c>
      <c r="I34" s="157">
        <f>IFERROR(__xludf.DUMMYFUNCTION("""COMPUTED_VALUE"""),0.0)</f>
        <v>0</v>
      </c>
      <c r="J34" s="158">
        <f>IFERROR(__xludf.DUMMYFUNCTION("""COMPUTED_VALUE"""),10.0)</f>
        <v>10</v>
      </c>
      <c r="K34" s="157"/>
      <c r="L34" s="160">
        <f>IFERROR(__xludf.DUMMYFUNCTION("""COMPUTED_VALUE"""),0.0)</f>
        <v>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/>
      <c r="F35" s="155"/>
      <c r="G35" s="155"/>
      <c r="H35" s="156">
        <f>IFERROR(__xludf.DUMMYFUNCTION("""COMPUTED_VALUE"""),0.0)</f>
        <v>0</v>
      </c>
      <c r="I35" s="157">
        <f>IFERROR(__xludf.DUMMYFUNCTION("""COMPUTED_VALUE"""),0.0)</f>
        <v>0</v>
      </c>
      <c r="J35" s="158">
        <f>IFERROR(__xludf.DUMMYFUNCTION("""COMPUTED_VALUE"""),10.0)</f>
        <v>10</v>
      </c>
      <c r="K35" s="157"/>
      <c r="L35" s="160">
        <f>IFERROR(__xludf.DUMMYFUNCTION("""COMPUTED_VALUE"""),0.0)</f>
        <v>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/>
      <c r="F36" s="155"/>
      <c r="G36" s="155"/>
      <c r="H36" s="156">
        <f>IFERROR(__xludf.DUMMYFUNCTION("""COMPUTED_VALUE"""),0.0)</f>
        <v>0</v>
      </c>
      <c r="I36" s="157">
        <f>IFERROR(__xludf.DUMMYFUNCTION("""COMPUTED_VALUE"""),0.0)</f>
        <v>0</v>
      </c>
      <c r="J36" s="158">
        <f>IFERROR(__xludf.DUMMYFUNCTION("""COMPUTED_VALUE"""),10.0)</f>
        <v>10</v>
      </c>
      <c r="K36" s="157"/>
      <c r="L36" s="160">
        <f>IFERROR(__xludf.DUMMYFUNCTION("""COMPUTED_VALUE"""),0.0)</f>
        <v>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/>
      <c r="F37" s="155"/>
      <c r="G37" s="155"/>
      <c r="H37" s="156">
        <f>IFERROR(__xludf.DUMMYFUNCTION("""COMPUTED_VALUE"""),0.0)</f>
        <v>0</v>
      </c>
      <c r="I37" s="157">
        <f>IFERROR(__xludf.DUMMYFUNCTION("""COMPUTED_VALUE"""),0.0)</f>
        <v>0</v>
      </c>
      <c r="J37" s="158">
        <f>IFERROR(__xludf.DUMMYFUNCTION("""COMPUTED_VALUE"""),10.0)</f>
        <v>10</v>
      </c>
      <c r="K37" s="157"/>
      <c r="L37" s="160">
        <f>IFERROR(__xludf.DUMMYFUNCTION("""COMPUTED_VALUE"""),0.0)</f>
        <v>0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/>
      <c r="F38" s="155"/>
      <c r="G38" s="155"/>
      <c r="H38" s="156">
        <f>IFERROR(__xludf.DUMMYFUNCTION("""COMPUTED_VALUE"""),0.0)</f>
        <v>0</v>
      </c>
      <c r="I38" s="157">
        <f>IFERROR(__xludf.DUMMYFUNCTION("""COMPUTED_VALUE"""),1.0)</f>
        <v>1</v>
      </c>
      <c r="J38" s="158">
        <f>IFERROR(__xludf.DUMMYFUNCTION("""COMPUTED_VALUE"""),10.0)</f>
        <v>10</v>
      </c>
      <c r="K38" s="157"/>
      <c r="L38" s="160">
        <f>IFERROR(__xludf.DUMMYFUNCTION("""COMPUTED_VALUE"""),0.0)</f>
        <v>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/>
      <c r="F39" s="155"/>
      <c r="G39" s="155"/>
      <c r="H39" s="156">
        <f>IFERROR(__xludf.DUMMYFUNCTION("""COMPUTED_VALUE"""),0.0)</f>
        <v>0</v>
      </c>
      <c r="I39" s="157">
        <f>IFERROR(__xludf.DUMMYFUNCTION("""COMPUTED_VALUE"""),0.0)</f>
        <v>0</v>
      </c>
      <c r="J39" s="158">
        <f>IFERROR(__xludf.DUMMYFUNCTION("""COMPUTED_VALUE"""),6.0)</f>
        <v>6</v>
      </c>
      <c r="K39" s="157"/>
      <c r="L39" s="160">
        <f>IFERROR(__xludf.DUMMYFUNCTION("""COMPUTED_VALUE"""),0.0)</f>
        <v>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/>
      <c r="F40" s="155"/>
      <c r="G40" s="155"/>
      <c r="H40" s="156">
        <f>IFERROR(__xludf.DUMMYFUNCTION("""COMPUTED_VALUE"""),0.0)</f>
        <v>0</v>
      </c>
      <c r="I40" s="157">
        <f>IFERROR(__xludf.DUMMYFUNCTION("""COMPUTED_VALUE"""),1.0)</f>
        <v>1</v>
      </c>
      <c r="J40" s="158">
        <f>IFERROR(__xludf.DUMMYFUNCTION("""COMPUTED_VALUE"""),7.0)</f>
        <v>7</v>
      </c>
      <c r="K40" s="157"/>
      <c r="L40" s="160">
        <f>IFERROR(__xludf.DUMMYFUNCTION("""COMPUTED_VALUE"""),0.0)</f>
        <v>0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/>
      <c r="F41" s="155"/>
      <c r="G41" s="155"/>
      <c r="H41" s="156">
        <f>IFERROR(__xludf.DUMMYFUNCTION("""COMPUTED_VALUE"""),0.0)</f>
        <v>0</v>
      </c>
      <c r="I41" s="157">
        <f>IFERROR(__xludf.DUMMYFUNCTION("""COMPUTED_VALUE"""),0.0)</f>
        <v>0</v>
      </c>
      <c r="J41" s="158">
        <f>IFERROR(__xludf.DUMMYFUNCTION("""COMPUTED_VALUE"""),10.0)</f>
        <v>10</v>
      </c>
      <c r="K41" s="157"/>
      <c r="L41" s="160">
        <f>IFERROR(__xludf.DUMMYFUNCTION("""COMPUTED_VALUE"""),0.0)</f>
        <v>0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/>
      <c r="F42" s="155"/>
      <c r="G42" s="155"/>
      <c r="H42" s="156">
        <f>IFERROR(__xludf.DUMMYFUNCTION("""COMPUTED_VALUE"""),0.0)</f>
        <v>0</v>
      </c>
      <c r="I42" s="157">
        <f>IFERROR(__xludf.DUMMYFUNCTION("""COMPUTED_VALUE"""),0.0)</f>
        <v>0</v>
      </c>
      <c r="J42" s="158">
        <f>IFERROR(__xludf.DUMMYFUNCTION("""COMPUTED_VALUE"""),10.0)</f>
        <v>10</v>
      </c>
      <c r="K42" s="157"/>
      <c r="L42" s="160">
        <f>IFERROR(__xludf.DUMMYFUNCTION("""COMPUTED_VALUE"""),0.0)</f>
        <v>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/>
      <c r="F43" s="155"/>
      <c r="G43" s="155"/>
      <c r="H43" s="156">
        <f>IFERROR(__xludf.DUMMYFUNCTION("""COMPUTED_VALUE"""),0.0)</f>
        <v>0</v>
      </c>
      <c r="I43" s="157">
        <f>IFERROR(__xludf.DUMMYFUNCTION("""COMPUTED_VALUE"""),0.0)</f>
        <v>0</v>
      </c>
      <c r="J43" s="158">
        <f>IFERROR(__xludf.DUMMYFUNCTION("""COMPUTED_VALUE"""),10.0)</f>
        <v>10</v>
      </c>
      <c r="K43" s="157"/>
      <c r="L43" s="160">
        <f>IFERROR(__xludf.DUMMYFUNCTION("""COMPUTED_VALUE"""),0.0)</f>
        <v>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155"/>
      <c r="F44" s="155"/>
      <c r="G44" s="155"/>
      <c r="H44" s="156">
        <f>IFERROR(__xludf.DUMMYFUNCTION("""COMPUTED_VALUE"""),0.0)</f>
        <v>0</v>
      </c>
      <c r="I44" s="157">
        <f>IFERROR(__xludf.DUMMYFUNCTION("""COMPUTED_VALUE"""),0.0)</f>
        <v>0</v>
      </c>
      <c r="J44" s="158">
        <f>IFERROR(__xludf.DUMMYFUNCTION("""COMPUTED_VALUE"""),10.0)</f>
        <v>10</v>
      </c>
      <c r="K44" s="157"/>
      <c r="L44" s="160">
        <f>IFERROR(__xludf.DUMMYFUNCTION("""COMPUTED_VALUE"""),0.0)</f>
        <v>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155"/>
      <c r="F45" s="155"/>
      <c r="G45" s="155"/>
      <c r="H45" s="156">
        <f>IFERROR(__xludf.DUMMYFUNCTION("""COMPUTED_VALUE"""),0.0)</f>
        <v>0</v>
      </c>
      <c r="I45" s="157">
        <f>IFERROR(__xludf.DUMMYFUNCTION("""COMPUTED_VALUE"""),0.0)</f>
        <v>0</v>
      </c>
      <c r="J45" s="158">
        <f>IFERROR(__xludf.DUMMYFUNCTION("""COMPUTED_VALUE"""),10.0)</f>
        <v>10</v>
      </c>
      <c r="K45" s="157"/>
      <c r="L45" s="160">
        <f>IFERROR(__xludf.DUMMYFUNCTION("""COMPUTED_VALUE"""),0.0)</f>
        <v>0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155"/>
      <c r="F46" s="155"/>
      <c r="G46" s="155"/>
      <c r="H46" s="156">
        <f>IFERROR(__xludf.DUMMYFUNCTION("""COMPUTED_VALUE"""),0.0)</f>
        <v>0</v>
      </c>
      <c r="I46" s="157">
        <f>IFERROR(__xludf.DUMMYFUNCTION("""COMPUTED_VALUE"""),0.0)</f>
        <v>0</v>
      </c>
      <c r="J46" s="158">
        <f>IFERROR(__xludf.DUMMYFUNCTION("""COMPUTED_VALUE"""),8.0)</f>
        <v>8</v>
      </c>
      <c r="K46" s="157"/>
      <c r="L46" s="160">
        <f>IFERROR(__xludf.DUMMYFUNCTION("""COMPUTED_VALUE"""),0.0)</f>
        <v>0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155"/>
      <c r="F47" s="155"/>
      <c r="G47" s="155"/>
      <c r="H47" s="156">
        <f>IFERROR(__xludf.DUMMYFUNCTION("""COMPUTED_VALUE"""),0.0)</f>
        <v>0</v>
      </c>
      <c r="I47" s="157">
        <f>IFERROR(__xludf.DUMMYFUNCTION("""COMPUTED_VALUE"""),0.0)</f>
        <v>0</v>
      </c>
      <c r="J47" s="158">
        <f>IFERROR(__xludf.DUMMYFUNCTION("""COMPUTED_VALUE"""),10.0)</f>
        <v>10</v>
      </c>
      <c r="K47" s="157"/>
      <c r="L47" s="160">
        <f>IFERROR(__xludf.DUMMYFUNCTION("""COMPUTED_VALUE"""),0.0)</f>
        <v>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155"/>
      <c r="F48" s="155"/>
      <c r="G48" s="155"/>
      <c r="H48" s="156">
        <f>IFERROR(__xludf.DUMMYFUNCTION("""COMPUTED_VALUE"""),0.0)</f>
        <v>0</v>
      </c>
      <c r="I48" s="157">
        <f>IFERROR(__xludf.DUMMYFUNCTION("""COMPUTED_VALUE"""),0.0)</f>
        <v>0</v>
      </c>
      <c r="J48" s="158">
        <f>IFERROR(__xludf.DUMMYFUNCTION("""COMPUTED_VALUE"""),10.0)</f>
        <v>10</v>
      </c>
      <c r="K48" s="157"/>
      <c r="L48" s="160">
        <f>IFERROR(__xludf.DUMMYFUNCTION("""COMPUTED_VALUE"""),0.0)</f>
        <v>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155"/>
      <c r="F49" s="155"/>
      <c r="G49" s="155"/>
      <c r="H49" s="156">
        <f>IFERROR(__xludf.DUMMYFUNCTION("""COMPUTED_VALUE"""),0.0)</f>
        <v>0</v>
      </c>
      <c r="I49" s="157">
        <f>IFERROR(__xludf.DUMMYFUNCTION("""COMPUTED_VALUE"""),0.0)</f>
        <v>0</v>
      </c>
      <c r="J49" s="158">
        <f>IFERROR(__xludf.DUMMYFUNCTION("""COMPUTED_VALUE"""),10.0)</f>
        <v>10</v>
      </c>
      <c r="K49" s="157"/>
      <c r="L49" s="160">
        <f>IFERROR(__xludf.DUMMYFUNCTION("""COMPUTED_VALUE"""),0.0)</f>
        <v>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155"/>
      <c r="F50" s="155"/>
      <c r="G50" s="155"/>
      <c r="H50" s="156">
        <f>IFERROR(__xludf.DUMMYFUNCTION("""COMPUTED_VALUE"""),0.0)</f>
        <v>0</v>
      </c>
      <c r="I50" s="157">
        <f>IFERROR(__xludf.DUMMYFUNCTION("""COMPUTED_VALUE"""),0.0)</f>
        <v>0</v>
      </c>
      <c r="J50" s="158">
        <f>IFERROR(__xludf.DUMMYFUNCTION("""COMPUTED_VALUE"""),10.0)</f>
        <v>10</v>
      </c>
      <c r="K50" s="157"/>
      <c r="L50" s="160">
        <f>IFERROR(__xludf.DUMMYFUNCTION("""COMPUTED_VALUE"""),0.0)</f>
        <v>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155"/>
      <c r="F51" s="155"/>
      <c r="G51" s="155"/>
      <c r="H51" s="156">
        <f>IFERROR(__xludf.DUMMYFUNCTION("""COMPUTED_VALUE"""),0.0)</f>
        <v>0</v>
      </c>
      <c r="I51" s="157">
        <f>IFERROR(__xludf.DUMMYFUNCTION("""COMPUTED_VALUE"""),1.0)</f>
        <v>1</v>
      </c>
      <c r="J51" s="158">
        <f>IFERROR(__xludf.DUMMYFUNCTION("""COMPUTED_VALUE"""),10.0)</f>
        <v>10</v>
      </c>
      <c r="K51" s="157"/>
      <c r="L51" s="161">
        <f>IFERROR(__xludf.DUMMYFUNCTION("""COMPUTED_VALUE"""),0.0)</f>
        <v>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155"/>
      <c r="F52" s="155"/>
      <c r="G52" s="155"/>
      <c r="H52" s="156">
        <f>IFERROR(__xludf.DUMMYFUNCTION("""COMPUTED_VALUE"""),0.0)</f>
        <v>0</v>
      </c>
      <c r="I52" s="157">
        <f>IFERROR(__xludf.DUMMYFUNCTION("""COMPUTED_VALUE"""),1.0)</f>
        <v>1</v>
      </c>
      <c r="J52" s="158">
        <f>IFERROR(__xludf.DUMMYFUNCTION("""COMPUTED_VALUE"""),10.0)</f>
        <v>10</v>
      </c>
      <c r="K52" s="157"/>
      <c r="L52" s="161">
        <f>IFERROR(__xludf.DUMMYFUNCTION("""COMPUTED_VALUE"""),0.0)</f>
        <v>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155"/>
      <c r="F53" s="155"/>
      <c r="G53" s="155"/>
      <c r="H53" s="156">
        <f>IFERROR(__xludf.DUMMYFUNCTION("""COMPUTED_VALUE"""),0.0)</f>
        <v>0</v>
      </c>
      <c r="I53" s="157">
        <f>IFERROR(__xludf.DUMMYFUNCTION("""COMPUTED_VALUE"""),1.0)</f>
        <v>1</v>
      </c>
      <c r="J53" s="158">
        <f>IFERROR(__xludf.DUMMYFUNCTION("""COMPUTED_VALUE"""),10.0)</f>
        <v>10</v>
      </c>
      <c r="K53" s="157"/>
      <c r="L53" s="161">
        <f>IFERROR(__xludf.DUMMYFUNCTION("""COMPUTED_VALUE"""),0.0)</f>
        <v>0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155"/>
      <c r="F54" s="155"/>
      <c r="G54" s="155"/>
      <c r="H54" s="156">
        <f>IFERROR(__xludf.DUMMYFUNCTION("""COMPUTED_VALUE"""),0.0)</f>
        <v>0</v>
      </c>
      <c r="I54" s="162">
        <f>IFERROR(__xludf.DUMMYFUNCTION("""COMPUTED_VALUE"""),0.0)</f>
        <v>0</v>
      </c>
      <c r="J54" s="158">
        <f>IFERROR(__xludf.DUMMYFUNCTION("""COMPUTED_VALUE"""),10.0)</f>
        <v>10</v>
      </c>
      <c r="K54" s="157"/>
      <c r="L54" s="161">
        <f>IFERROR(__xludf.DUMMYFUNCTION("""COMPUTED_VALUE"""),0.0)</f>
        <v>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155"/>
      <c r="F55" s="155"/>
      <c r="G55" s="155"/>
      <c r="H55" s="156">
        <f>IFERROR(__xludf.DUMMYFUNCTION("""COMPUTED_VALUE"""),0.0)</f>
        <v>0</v>
      </c>
      <c r="I55" s="162">
        <f>IFERROR(__xludf.DUMMYFUNCTION("""COMPUTED_VALUE"""),1.0)</f>
        <v>1</v>
      </c>
      <c r="J55" s="158">
        <f>IFERROR(__xludf.DUMMYFUNCTION("""COMPUTED_VALUE"""),10.0)</f>
        <v>10</v>
      </c>
      <c r="K55" s="157"/>
      <c r="L55" s="161">
        <f>IFERROR(__xludf.DUMMYFUNCTION("""COMPUTED_VALUE"""),0.0)</f>
        <v>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155"/>
      <c r="F56" s="155"/>
      <c r="G56" s="155"/>
      <c r="H56" s="156">
        <f>IFERROR(__xludf.DUMMYFUNCTION("""COMPUTED_VALUE"""),0.0)</f>
        <v>0</v>
      </c>
      <c r="I56" s="162">
        <f>IFERROR(__xludf.DUMMYFUNCTION("""COMPUTED_VALUE"""),0.0)</f>
        <v>0</v>
      </c>
      <c r="J56" s="158">
        <f>IFERROR(__xludf.DUMMYFUNCTION("""COMPUTED_VALUE"""),10.0)</f>
        <v>10</v>
      </c>
      <c r="K56" s="157"/>
      <c r="L56" s="161">
        <f>IFERROR(__xludf.DUMMYFUNCTION("""COMPUTED_VALUE"""),0.0)</f>
        <v>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155"/>
      <c r="F57" s="155"/>
      <c r="G57" s="155"/>
      <c r="H57" s="156">
        <f>IFERROR(__xludf.DUMMYFUNCTION("""COMPUTED_VALUE"""),0.0)</f>
        <v>0</v>
      </c>
      <c r="I57" s="162">
        <f>IFERROR(__xludf.DUMMYFUNCTION("""COMPUTED_VALUE"""),0.0)</f>
        <v>0</v>
      </c>
      <c r="J57" s="158">
        <f>IFERROR(__xludf.DUMMYFUNCTION("""COMPUTED_VALUE"""),10.0)</f>
        <v>10</v>
      </c>
      <c r="K57" s="157"/>
      <c r="L57" s="161">
        <f>IFERROR(__xludf.DUMMYFUNCTION("""COMPUTED_VALUE"""),0.0)</f>
        <v>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155"/>
      <c r="F58" s="155"/>
      <c r="G58" s="155"/>
      <c r="H58" s="156">
        <f>IFERROR(__xludf.DUMMYFUNCTION("""COMPUTED_VALUE"""),0.0)</f>
        <v>0</v>
      </c>
      <c r="I58" s="162">
        <f>IFERROR(__xludf.DUMMYFUNCTION("""COMPUTED_VALUE"""),0.0)</f>
        <v>0</v>
      </c>
      <c r="J58" s="158">
        <f>IFERROR(__xludf.DUMMYFUNCTION("""COMPUTED_VALUE"""),10.0)</f>
        <v>10</v>
      </c>
      <c r="K58" s="157"/>
      <c r="L58" s="161">
        <f>IFERROR(__xludf.DUMMYFUNCTION("""COMPUTED_VALUE"""),0.0)</f>
        <v>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155"/>
      <c r="F59" s="155"/>
      <c r="G59" s="155"/>
      <c r="H59" s="156">
        <f>IFERROR(__xludf.DUMMYFUNCTION("""COMPUTED_VALUE"""),0.0)</f>
        <v>0</v>
      </c>
      <c r="I59" s="162">
        <f>IFERROR(__xludf.DUMMYFUNCTION("""COMPUTED_VALUE"""),0.0)</f>
        <v>0</v>
      </c>
      <c r="J59" s="158">
        <f>IFERROR(__xludf.DUMMYFUNCTION("""COMPUTED_VALUE"""),10.0)</f>
        <v>10</v>
      </c>
      <c r="K59" s="157"/>
      <c r="L59" s="161">
        <f>IFERROR(__xludf.DUMMYFUNCTION("""COMPUTED_VALUE"""),0.0)</f>
        <v>0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155"/>
      <c r="F60" s="155"/>
      <c r="G60" s="155"/>
      <c r="H60" s="156">
        <f>IFERROR(__xludf.DUMMYFUNCTION("""COMPUTED_VALUE"""),0.0)</f>
        <v>0</v>
      </c>
      <c r="I60" s="162">
        <f>IFERROR(__xludf.DUMMYFUNCTION("""COMPUTED_VALUE"""),0.0)</f>
        <v>0</v>
      </c>
      <c r="J60" s="158">
        <f>IFERROR(__xludf.DUMMYFUNCTION("""COMPUTED_VALUE"""),10.0)</f>
        <v>10</v>
      </c>
      <c r="K60" s="157"/>
      <c r="L60" s="161">
        <f>IFERROR(__xludf.DUMMYFUNCTION("""COMPUTED_VALUE"""),0.0)</f>
        <v>0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155"/>
      <c r="F61" s="155"/>
      <c r="G61" s="155"/>
      <c r="H61" s="156">
        <f>IFERROR(__xludf.DUMMYFUNCTION("""COMPUTED_VALUE"""),0.0)</f>
        <v>0</v>
      </c>
      <c r="I61" s="162">
        <f>IFERROR(__xludf.DUMMYFUNCTION("""COMPUTED_VALUE"""),0.0)</f>
        <v>0</v>
      </c>
      <c r="J61" s="158">
        <f>IFERROR(__xludf.DUMMYFUNCTION("""COMPUTED_VALUE"""),10.0)</f>
        <v>10</v>
      </c>
      <c r="K61" s="157"/>
      <c r="L61" s="161">
        <f>IFERROR(__xludf.DUMMYFUNCTION("""COMPUTED_VALUE"""),0.0)</f>
        <v>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155"/>
      <c r="F62" s="155"/>
      <c r="G62" s="155"/>
      <c r="H62" s="156">
        <f>IFERROR(__xludf.DUMMYFUNCTION("""COMPUTED_VALUE"""),0.0)</f>
        <v>0</v>
      </c>
      <c r="I62" s="162">
        <f>IFERROR(__xludf.DUMMYFUNCTION("""COMPUTED_VALUE"""),0.0)</f>
        <v>0</v>
      </c>
      <c r="J62" s="158">
        <f>IFERROR(__xludf.DUMMYFUNCTION("""COMPUTED_VALUE"""),10.0)</f>
        <v>10</v>
      </c>
      <c r="K62" s="157"/>
      <c r="L62" s="161">
        <f>IFERROR(__xludf.DUMMYFUNCTION("""COMPUTED_VALUE"""),0.0)</f>
        <v>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155"/>
      <c r="F63" s="155"/>
      <c r="G63" s="155"/>
      <c r="H63" s="156">
        <f>IFERROR(__xludf.DUMMYFUNCTION("""COMPUTED_VALUE"""),0.0)</f>
        <v>0</v>
      </c>
      <c r="I63" s="162">
        <f>IFERROR(__xludf.DUMMYFUNCTION("""COMPUTED_VALUE"""),0.0)</f>
        <v>0</v>
      </c>
      <c r="J63" s="158">
        <f>IFERROR(__xludf.DUMMYFUNCTION("""COMPUTED_VALUE"""),10.0)</f>
        <v>10</v>
      </c>
      <c r="K63" s="157"/>
      <c r="L63" s="161">
        <f>IFERROR(__xludf.DUMMYFUNCTION("""COMPUTED_VALUE"""),0.0)</f>
        <v>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/>
      <c r="B64" s="163"/>
      <c r="C64" s="163"/>
      <c r="D64" s="127"/>
      <c r="E64" s="164"/>
      <c r="F64" s="164"/>
      <c r="G64" s="164"/>
      <c r="H64" s="164"/>
      <c r="I64" s="132"/>
      <c r="J64" s="165"/>
      <c r="K64" s="128"/>
      <c r="L64" s="165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 t="str">
        <f>IFERROR(__xludf.DUMMYFUNCTION("""COMPUTED_VALUE"""),"No. DE ALUMNOS INSCRITOS")</f>
        <v>No. DE ALUMNOS INSCRITOS</v>
      </c>
      <c r="C65" s="74"/>
      <c r="D65" s="167">
        <f>IFERROR(__xludf.DUMMYFUNCTION("""COMPUTED_VALUE"""),47.0)</f>
        <v>47</v>
      </c>
      <c r="E65" s="164"/>
      <c r="F65" s="168" t="str">
        <f>IFERROR(__xludf.DUMMYFUNCTION("""COMPUTED_VALUE"""),"FIRMA DEL PROFESOR")</f>
        <v>FIRMA DEL PROFESOR</v>
      </c>
      <c r="G65" s="164"/>
      <c r="H65" s="168" t="str">
        <f>IFERROR(__xludf.DUMMYFUNCTION("""COMPUTED_VALUE"""),"FIRMA DEL ORIENTADOR")</f>
        <v>FIRMA DEL ORIENTADOR</v>
      </c>
      <c r="J65" s="169" t="str">
        <f>IFERROR(__xludf.DUMMYFUNCTION("""COMPUTED_VALUE"""),"Vo. Bo. SUBDIRECCIÓN ESCOLAR")</f>
        <v>Vo. Bo. SUBDIRECCIÓN ESCOLAR</v>
      </c>
      <c r="K65" s="170" t="str">
        <f>IFERROR(__xludf.DUMMYFUNCTION("""COMPUTED_VALUE"""),"REVISADO POR SECRETARIA ESCOLAR ")</f>
        <v>REVISADO POR SECRETARIA ESCOLAR </v>
      </c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IFERROR(__xludf.DUMMYFUNCTION("""COMPUTED_VALUE"""),"BAJAS DURANTE EL SEMESTRE")</f>
        <v>BAJAS DURANTE EL SEMESTRE</v>
      </c>
      <c r="C66" s="81"/>
      <c r="D66" s="172">
        <f>IFERROR(__xludf.DUMMYFUNCTION("""COMPUTED_VALUE"""),0.0)</f>
        <v>0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IFERROR(__xludf.DUMMYFUNCTION("""COMPUTED_VALUE"""),"EXISTENCIA")</f>
        <v>EXISTENCIA</v>
      </c>
      <c r="C67" s="81"/>
      <c r="D67" s="173">
        <f>IFERROR(__xludf.DUMMYFUNCTION("""COMPUTED_VALUE"""),47.0)</f>
        <v>47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IFERROR(__xludf.DUMMYFUNCTION("""COMPUTED_VALUE"""),"No. DE ALUMNOS APROBADOS")</f>
        <v>No. DE ALUMNOS APROBADOS</v>
      </c>
      <c r="C68" s="81"/>
      <c r="D68" s="174">
        <f>IFERROR(__xludf.DUMMYFUNCTION("""COMPUTED_VALUE"""),46.0)</f>
        <v>46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REPROBADOS")</f>
        <v>No. DE ALUMNOS REPROBADOS</v>
      </c>
      <c r="C69" s="81"/>
      <c r="D69" s="174">
        <f>IFERROR(__xludf.DUMMYFUNCTION("""COMPUTED_VALUE"""),1.0)</f>
        <v>1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IFERROR(__xludf.DUMMYFUNCTION("""COMPUTED_VALUE"""),"% DE APROBADOS")</f>
        <v>% DE APROBADOS</v>
      </c>
      <c r="C70" s="81"/>
      <c r="D70" s="179">
        <f>IFERROR(__xludf.DUMMYFUNCTION("""COMPUTED_VALUE"""),97.87234042553192)</f>
        <v>97.87234043</v>
      </c>
      <c r="E70" s="127"/>
      <c r="F70" s="180" t="str">
        <f>IFERROR(__xludf.DUMMYFUNCTION("""COMPUTED_VALUE"""),"PROFR. ")</f>
        <v>PROFR. </v>
      </c>
      <c r="G70" s="130"/>
      <c r="H70" s="95" t="str">
        <f>IFERROR(__xludf.DUMMYFUNCTION("""COMPUTED_VALUE"""),"PROFRA. ANA ISABEL CORREA SALGADO")</f>
        <v>PROFRA. ANA ISABEL CORREA SALGADO</v>
      </c>
      <c r="J70" s="181" t="str">
        <f>IFERROR(__xludf.DUMMYFUNCTION("""COMPUTED_VALUE"""),"PROFR. OCTAVIO VÁZQUEZ BARRETO")</f>
        <v>PROFR. OCTAVIO VÁZQUEZ BARRETO</v>
      </c>
      <c r="K70" s="182" t="str">
        <f>IFERROR(__xludf.DUMMYFUNCTION("""COMPUTED_VALUE"""),"PROFR. ROBERTO PALOMARES MEJÍA ")</f>
        <v>PROFR. ROBERTO PALOMARES MEJÍA 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183" t="str">
        <f>IFERROR(__xludf.DUMMYFUNCTION("""COMPUTED_VALUE"""),"PROMEDIO")</f>
        <v>PROMEDIO</v>
      </c>
      <c r="C71" s="100"/>
      <c r="D71" s="184">
        <f>IFERROR(__xludf.DUMMYFUNCTION("""COMPUTED_VALUE"""),9.553191489361701)</f>
        <v>9.553191489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/>
      <c r="C72" s="121"/>
      <c r="D72" s="121"/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IFERROR(__xludf.DUMMYFUNCTION("IMPORTRANGE(""https://docs.google.com/spreadsheets/d/1kRJKytZQ5fwrfF3Y5cMA-yFz-Gp9hsVFk0JQwKHtgUs/edit?gid=530128020#gid=530128020"",""2-1 comunidades virtuales!a1:q85"")"),"")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IFERROR(__xludf.DUMMYFUNCTION("""COMPUTED_VALUE"""),"ANA ISABEL CORREA SALGADO")</f>
        <v>ANA ISABEL CORREA SALGADO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IFERROR(__xludf.DUMMYFUNCTION("""COMPUTED_VALUE"""),"COMUNIDADES VIRTUALES")</f>
        <v>COMUNIDADES VIRTUALES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>
        <f>IFERROR(__xludf.DUMMYFUNCTION("""COMPUTED_VALUE"""),5.6)</f>
        <v>5.6</v>
      </c>
      <c r="F17" s="155">
        <f>IFERROR(__xludf.DUMMYFUNCTION("""COMPUTED_VALUE"""),2.0)</f>
        <v>2</v>
      </c>
      <c r="G17" s="155">
        <f>IFERROR(__xludf.DUMMYFUNCTION("""COMPUTED_VALUE"""),0.0)</f>
        <v>0</v>
      </c>
      <c r="H17" s="156">
        <f>IFERROR(__xludf.DUMMYFUNCTION("""COMPUTED_VALUE"""),7.6)</f>
        <v>7.6</v>
      </c>
      <c r="I17" s="157">
        <f>IFERROR(__xludf.DUMMYFUNCTION("""COMPUTED_VALUE"""),0.0)</f>
        <v>0</v>
      </c>
      <c r="J17" s="158">
        <f>IFERROR(__xludf.DUMMYFUNCTION("""COMPUTED_VALUE"""),8.0)</f>
        <v>8</v>
      </c>
      <c r="K17" s="159"/>
      <c r="L17" s="160">
        <f>IFERROR(__xludf.DUMMYFUNCTION("""COMPUTED_VALUE"""),8.0)</f>
        <v>8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>
        <f>IFERROR(__xludf.DUMMYFUNCTION("""COMPUTED_VALUE"""),5.6)</f>
        <v>5.6</v>
      </c>
      <c r="F18" s="155">
        <f>IFERROR(__xludf.DUMMYFUNCTION("""COMPUTED_VALUE"""),2.0)</f>
        <v>2</v>
      </c>
      <c r="G18" s="155">
        <f>IFERROR(__xludf.DUMMYFUNCTION("""COMPUTED_VALUE"""),0.0)</f>
        <v>0</v>
      </c>
      <c r="H18" s="156">
        <f>IFERROR(__xludf.DUMMYFUNCTION("""COMPUTED_VALUE"""),7.6)</f>
        <v>7.6</v>
      </c>
      <c r="I18" s="157">
        <f>IFERROR(__xludf.DUMMYFUNCTION("""COMPUTED_VALUE"""),0.0)</f>
        <v>0</v>
      </c>
      <c r="J18" s="158">
        <f>IFERROR(__xludf.DUMMYFUNCTION("""COMPUTED_VALUE"""),8.0)</f>
        <v>8</v>
      </c>
      <c r="K18" s="157"/>
      <c r="L18" s="160">
        <f>IFERROR(__xludf.DUMMYFUNCTION("""COMPUTED_VALUE"""),8.0)</f>
        <v>8</v>
      </c>
      <c r="M18" s="121" t="str">
        <f>IFERROR(__xludf.DUMMYFUNCTION("""COMPUTED_VALUE"""),"Febrero")</f>
        <v>Febrero</v>
      </c>
      <c r="N18" s="121">
        <f>IFERROR(__xludf.DUMMYFUNCTION("""COMPUTED_VALUE"""),8.0)</f>
        <v>8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>
        <f>IFERROR(__xludf.DUMMYFUNCTION("""COMPUTED_VALUE"""),8.0)</f>
        <v>8</v>
      </c>
      <c r="F19" s="155">
        <f>IFERROR(__xludf.DUMMYFUNCTION("""COMPUTED_VALUE"""),2.0)</f>
        <v>2</v>
      </c>
      <c r="G19" s="155">
        <f>IFERROR(__xludf.DUMMYFUNCTION("""COMPUTED_VALUE"""),0.0)</f>
        <v>0</v>
      </c>
      <c r="H19" s="156">
        <f>IFERROR(__xludf.DUMMYFUNCTION("""COMPUTED_VALUE"""),10.0)</f>
        <v>10</v>
      </c>
      <c r="I19" s="157">
        <f>IFERROR(__xludf.DUMMYFUNCTION("""COMPUTED_VALUE"""),0.0)</f>
        <v>0</v>
      </c>
      <c r="J19" s="158">
        <f>IFERROR(__xludf.DUMMYFUNCTION("""COMPUTED_VALUE"""),10.0)</f>
        <v>10</v>
      </c>
      <c r="K19" s="157"/>
      <c r="L19" s="160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IFERROR(__xludf.DUMMYFUNCTION("""COMPUTED_VALUE"""),12.0)</f>
        <v>12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>
        <f>IFERROR(__xludf.DUMMYFUNCTION("""COMPUTED_VALUE"""),8.0)</f>
        <v>8</v>
      </c>
      <c r="F20" s="155">
        <f>IFERROR(__xludf.DUMMYFUNCTION("""COMPUTED_VALUE"""),2.0)</f>
        <v>2</v>
      </c>
      <c r="G20" s="155">
        <f>IFERROR(__xludf.DUMMYFUNCTION("""COMPUTED_VALUE"""),1.0)</f>
        <v>1</v>
      </c>
      <c r="H20" s="156">
        <f>IFERROR(__xludf.DUMMYFUNCTION("""COMPUTED_VALUE"""),11.0)</f>
        <v>11</v>
      </c>
      <c r="I20" s="157">
        <f>IFERROR(__xludf.DUMMYFUNCTION("""COMPUTED_VALUE"""),0.0)</f>
        <v>0</v>
      </c>
      <c r="J20" s="158">
        <f>IFERROR(__xludf.DUMMYFUNCTION("""COMPUTED_VALUE"""),10.0)</f>
        <v>10</v>
      </c>
      <c r="K20" s="157"/>
      <c r="L20" s="160">
        <f>IFERROR(__xludf.DUMMYFUNCTION("""COMPUTED_VALUE"""),11.0)</f>
        <v>11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>
        <f>IFERROR(__xludf.DUMMYFUNCTION("""COMPUTED_VALUE"""),8.0)</f>
        <v>8</v>
      </c>
      <c r="F21" s="155">
        <f>IFERROR(__xludf.DUMMYFUNCTION("""COMPUTED_VALUE"""),2.0)</f>
        <v>2</v>
      </c>
      <c r="G21" s="155">
        <f>IFERROR(__xludf.DUMMYFUNCTION("""COMPUTED_VALUE"""),0.0)</f>
        <v>0</v>
      </c>
      <c r="H21" s="156">
        <f>IFERROR(__xludf.DUMMYFUNCTION("""COMPUTED_VALUE"""),10.0)</f>
        <v>10</v>
      </c>
      <c r="I21" s="157">
        <f>IFERROR(__xludf.DUMMYFUNCTION("""COMPUTED_VALUE"""),0.0)</f>
        <v>0</v>
      </c>
      <c r="J21" s="158">
        <f>IFERROR(__xludf.DUMMYFUNCTION("""COMPUTED_VALUE"""),10.0)</f>
        <v>10</v>
      </c>
      <c r="K21" s="157"/>
      <c r="L21" s="160">
        <f>IFERROR(__xludf.DUMMYFUNCTION("""COMPUTED_VALUE"""),10.0)</f>
        <v>10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>
        <f>IFERROR(__xludf.DUMMYFUNCTION("""COMPUTED_VALUE"""),7.2)</f>
        <v>7.2</v>
      </c>
      <c r="F22" s="155">
        <f>IFERROR(__xludf.DUMMYFUNCTION("""COMPUTED_VALUE"""),2.0)</f>
        <v>2</v>
      </c>
      <c r="G22" s="155">
        <f>IFERROR(__xludf.DUMMYFUNCTION("""COMPUTED_VALUE"""),0.0)</f>
        <v>0</v>
      </c>
      <c r="H22" s="156">
        <f>IFERROR(__xludf.DUMMYFUNCTION("""COMPUTED_VALUE"""),9.2)</f>
        <v>9.2</v>
      </c>
      <c r="I22" s="157">
        <f>IFERROR(__xludf.DUMMYFUNCTION("""COMPUTED_VALUE"""),0.0)</f>
        <v>0</v>
      </c>
      <c r="J22" s="158">
        <f>IFERROR(__xludf.DUMMYFUNCTION("""COMPUTED_VALUE"""),9.0)</f>
        <v>9</v>
      </c>
      <c r="K22" s="157"/>
      <c r="L22" s="160">
        <f>IFERROR(__xludf.DUMMYFUNCTION("""COMPUTED_VALUE"""),9.0)</f>
        <v>9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>
        <f>IFERROR(__xludf.DUMMYFUNCTION("""COMPUTED_VALUE"""),5.6)</f>
        <v>5.6</v>
      </c>
      <c r="F23" s="155">
        <f>IFERROR(__xludf.DUMMYFUNCTION("""COMPUTED_VALUE"""),2.0)</f>
        <v>2</v>
      </c>
      <c r="G23" s="155">
        <f>IFERROR(__xludf.DUMMYFUNCTION("""COMPUTED_VALUE"""),0.0)</f>
        <v>0</v>
      </c>
      <c r="H23" s="156">
        <f>IFERROR(__xludf.DUMMYFUNCTION("""COMPUTED_VALUE"""),7.6)</f>
        <v>7.6</v>
      </c>
      <c r="I23" s="157">
        <f>IFERROR(__xludf.DUMMYFUNCTION("""COMPUTED_VALUE"""),0.0)</f>
        <v>0</v>
      </c>
      <c r="J23" s="158">
        <f>IFERROR(__xludf.DUMMYFUNCTION("""COMPUTED_VALUE"""),8.0)</f>
        <v>8</v>
      </c>
      <c r="K23" s="157"/>
      <c r="L23" s="160">
        <f>IFERROR(__xludf.DUMMYFUNCTION("""COMPUTED_VALUE"""),8.0)</f>
        <v>8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>
        <f>IFERROR(__xludf.DUMMYFUNCTION("""COMPUTED_VALUE"""),7.2)</f>
        <v>7.2</v>
      </c>
      <c r="F24" s="155">
        <f>IFERROR(__xludf.DUMMYFUNCTION("""COMPUTED_VALUE"""),2.0)</f>
        <v>2</v>
      </c>
      <c r="G24" s="155">
        <f>IFERROR(__xludf.DUMMYFUNCTION("""COMPUTED_VALUE"""),0.0)</f>
        <v>0</v>
      </c>
      <c r="H24" s="156">
        <f>IFERROR(__xludf.DUMMYFUNCTION("""COMPUTED_VALUE"""),9.2)</f>
        <v>9.2</v>
      </c>
      <c r="I24" s="157">
        <f>IFERROR(__xludf.DUMMYFUNCTION("""COMPUTED_VALUE"""),0.0)</f>
        <v>0</v>
      </c>
      <c r="J24" s="158">
        <f>IFERROR(__xludf.DUMMYFUNCTION("""COMPUTED_VALUE"""),9.0)</f>
        <v>9</v>
      </c>
      <c r="K24" s="157"/>
      <c r="L24" s="160">
        <f>IFERROR(__xludf.DUMMYFUNCTION("""COMPUTED_VALUE"""),9.0)</f>
        <v>9</v>
      </c>
      <c r="M24" s="121" t="str">
        <f>IFERROR(__xludf.DUMMYFUNCTION("""COMPUTED_VALUE"""),"TOTAL")</f>
        <v>TOTAL</v>
      </c>
      <c r="N24" s="121">
        <f>IFERROR(__xludf.DUMMYFUNCTION("""COMPUTED_VALUE"""),20.0)</f>
        <v>20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>
        <f>IFERROR(__xludf.DUMMYFUNCTION("""COMPUTED_VALUE"""),7.2)</f>
        <v>7.2</v>
      </c>
      <c r="F25" s="155">
        <f>IFERROR(__xludf.DUMMYFUNCTION("""COMPUTED_VALUE"""),2.0)</f>
        <v>2</v>
      </c>
      <c r="G25" s="155">
        <f>IFERROR(__xludf.DUMMYFUNCTION("""COMPUTED_VALUE"""),0.0)</f>
        <v>0</v>
      </c>
      <c r="H25" s="156">
        <f>IFERROR(__xludf.DUMMYFUNCTION("""COMPUTED_VALUE"""),9.2)</f>
        <v>9.2</v>
      </c>
      <c r="I25" s="157">
        <f>IFERROR(__xludf.DUMMYFUNCTION("""COMPUTED_VALUE"""),0.0)</f>
        <v>0</v>
      </c>
      <c r="J25" s="158">
        <f>IFERROR(__xludf.DUMMYFUNCTION("""COMPUTED_VALUE"""),9.0)</f>
        <v>9</v>
      </c>
      <c r="K25" s="157"/>
      <c r="L25" s="160">
        <f>IFERROR(__xludf.DUMMYFUNCTION("""COMPUTED_VALUE"""),9.0)</f>
        <v>9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>
        <f>IFERROR(__xludf.DUMMYFUNCTION("""COMPUTED_VALUE"""),4.0)</f>
        <v>4</v>
      </c>
      <c r="F26" s="155">
        <f>IFERROR(__xludf.DUMMYFUNCTION("""COMPUTED_VALUE"""),2.0)</f>
        <v>2</v>
      </c>
      <c r="G26" s="155">
        <f>IFERROR(__xludf.DUMMYFUNCTION("""COMPUTED_VALUE"""),0.0)</f>
        <v>0</v>
      </c>
      <c r="H26" s="156">
        <f>IFERROR(__xludf.DUMMYFUNCTION("""COMPUTED_VALUE"""),6.0)</f>
        <v>6</v>
      </c>
      <c r="I26" s="157">
        <f>IFERROR(__xludf.DUMMYFUNCTION("""COMPUTED_VALUE"""),0.0)</f>
        <v>0</v>
      </c>
      <c r="J26" s="158">
        <f>IFERROR(__xludf.DUMMYFUNCTION("""COMPUTED_VALUE"""),6.0)</f>
        <v>6</v>
      </c>
      <c r="K26" s="157"/>
      <c r="L26" s="160">
        <f>IFERROR(__xludf.DUMMYFUNCTION("""COMPUTED_VALUE"""),6.0)</f>
        <v>6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>
        <f>IFERROR(__xludf.DUMMYFUNCTION("""COMPUTED_VALUE"""),8.0)</f>
        <v>8</v>
      </c>
      <c r="F27" s="155">
        <f>IFERROR(__xludf.DUMMYFUNCTION("""COMPUTED_VALUE"""),2.0)</f>
        <v>2</v>
      </c>
      <c r="G27" s="155">
        <f>IFERROR(__xludf.DUMMYFUNCTION("""COMPUTED_VALUE"""),0.0)</f>
        <v>0</v>
      </c>
      <c r="H27" s="156">
        <f>IFERROR(__xludf.DUMMYFUNCTION("""COMPUTED_VALUE"""),10.0)</f>
        <v>10</v>
      </c>
      <c r="I27" s="157">
        <f>IFERROR(__xludf.DUMMYFUNCTION("""COMPUTED_VALUE"""),0.0)</f>
        <v>0</v>
      </c>
      <c r="J27" s="158">
        <f>IFERROR(__xludf.DUMMYFUNCTION("""COMPUTED_VALUE"""),10.0)</f>
        <v>10</v>
      </c>
      <c r="K27" s="157"/>
      <c r="L27" s="160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>
        <f>IFERROR(__xludf.DUMMYFUNCTION("""COMPUTED_VALUE"""),7.2)</f>
        <v>7.2</v>
      </c>
      <c r="F28" s="155">
        <f>IFERROR(__xludf.DUMMYFUNCTION("""COMPUTED_VALUE"""),2.0)</f>
        <v>2</v>
      </c>
      <c r="G28" s="155">
        <f>IFERROR(__xludf.DUMMYFUNCTION("""COMPUTED_VALUE"""),0.0)</f>
        <v>0</v>
      </c>
      <c r="H28" s="156">
        <f>IFERROR(__xludf.DUMMYFUNCTION("""COMPUTED_VALUE"""),9.2)</f>
        <v>9.2</v>
      </c>
      <c r="I28" s="157">
        <f>IFERROR(__xludf.DUMMYFUNCTION("""COMPUTED_VALUE"""),0.0)</f>
        <v>0</v>
      </c>
      <c r="J28" s="158">
        <f>IFERROR(__xludf.DUMMYFUNCTION("""COMPUTED_VALUE"""),9.0)</f>
        <v>9</v>
      </c>
      <c r="K28" s="157"/>
      <c r="L28" s="160">
        <f>IFERROR(__xludf.DUMMYFUNCTION("""COMPUTED_VALUE"""),9.0)</f>
        <v>9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>
        <f>IFERROR(__xludf.DUMMYFUNCTION("""COMPUTED_VALUE"""),5.6)</f>
        <v>5.6</v>
      </c>
      <c r="F29" s="155">
        <f>IFERROR(__xludf.DUMMYFUNCTION("""COMPUTED_VALUE"""),2.0)</f>
        <v>2</v>
      </c>
      <c r="G29" s="155">
        <f>IFERROR(__xludf.DUMMYFUNCTION("""COMPUTED_VALUE"""),0.0)</f>
        <v>0</v>
      </c>
      <c r="H29" s="156">
        <f>IFERROR(__xludf.DUMMYFUNCTION("""COMPUTED_VALUE"""),7.6)</f>
        <v>7.6</v>
      </c>
      <c r="I29" s="157">
        <f>IFERROR(__xludf.DUMMYFUNCTION("""COMPUTED_VALUE"""),0.0)</f>
        <v>0</v>
      </c>
      <c r="J29" s="158">
        <f>IFERROR(__xludf.DUMMYFUNCTION("""COMPUTED_VALUE"""),8.0)</f>
        <v>8</v>
      </c>
      <c r="K29" s="157"/>
      <c r="L29" s="160">
        <f>IFERROR(__xludf.DUMMYFUNCTION("""COMPUTED_VALUE"""),8.0)</f>
        <v>8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>
        <f>IFERROR(__xludf.DUMMYFUNCTION("""COMPUTED_VALUE"""),7.2)</f>
        <v>7.2</v>
      </c>
      <c r="F30" s="155">
        <f>IFERROR(__xludf.DUMMYFUNCTION("""COMPUTED_VALUE"""),2.0)</f>
        <v>2</v>
      </c>
      <c r="G30" s="155">
        <f>IFERROR(__xludf.DUMMYFUNCTION("""COMPUTED_VALUE"""),0.0)</f>
        <v>0</v>
      </c>
      <c r="H30" s="156">
        <f>IFERROR(__xludf.DUMMYFUNCTION("""COMPUTED_VALUE"""),9.2)</f>
        <v>9.2</v>
      </c>
      <c r="I30" s="157">
        <f>IFERROR(__xludf.DUMMYFUNCTION("""COMPUTED_VALUE"""),0.0)</f>
        <v>0</v>
      </c>
      <c r="J30" s="158">
        <f>IFERROR(__xludf.DUMMYFUNCTION("""COMPUTED_VALUE"""),9.0)</f>
        <v>9</v>
      </c>
      <c r="K30" s="157"/>
      <c r="L30" s="160">
        <f>IFERROR(__xludf.DUMMYFUNCTION("""COMPUTED_VALUE"""),9.0)</f>
        <v>9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>
        <f>IFERROR(__xludf.DUMMYFUNCTION("""COMPUTED_VALUE"""),8.0)</f>
        <v>8</v>
      </c>
      <c r="F31" s="155">
        <f>IFERROR(__xludf.DUMMYFUNCTION("""COMPUTED_VALUE"""),2.0)</f>
        <v>2</v>
      </c>
      <c r="G31" s="155">
        <f>IFERROR(__xludf.DUMMYFUNCTION("""COMPUTED_VALUE"""),1.0)</f>
        <v>1</v>
      </c>
      <c r="H31" s="156">
        <f>IFERROR(__xludf.DUMMYFUNCTION("""COMPUTED_VALUE"""),11.0)</f>
        <v>11</v>
      </c>
      <c r="I31" s="157">
        <f>IFERROR(__xludf.DUMMYFUNCTION("""COMPUTED_VALUE"""),0.0)</f>
        <v>0</v>
      </c>
      <c r="J31" s="158">
        <f>IFERROR(__xludf.DUMMYFUNCTION("""COMPUTED_VALUE"""),10.0)</f>
        <v>10</v>
      </c>
      <c r="K31" s="157"/>
      <c r="L31" s="160">
        <f>IFERROR(__xludf.DUMMYFUNCTION("""COMPUTED_VALUE"""),11.0)</f>
        <v>11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>
        <f>IFERROR(__xludf.DUMMYFUNCTION("""COMPUTED_VALUE"""),8.0)</f>
        <v>8</v>
      </c>
      <c r="F32" s="155">
        <f>IFERROR(__xludf.DUMMYFUNCTION("""COMPUTED_VALUE"""),2.0)</f>
        <v>2</v>
      </c>
      <c r="G32" s="155">
        <f>IFERROR(__xludf.DUMMYFUNCTION("""COMPUTED_VALUE"""),0.0)</f>
        <v>0</v>
      </c>
      <c r="H32" s="156">
        <f>IFERROR(__xludf.DUMMYFUNCTION("""COMPUTED_VALUE"""),10.0)</f>
        <v>10</v>
      </c>
      <c r="I32" s="157">
        <f>IFERROR(__xludf.DUMMYFUNCTION("""COMPUTED_VALUE"""),0.0)</f>
        <v>0</v>
      </c>
      <c r="J32" s="158">
        <f>IFERROR(__xludf.DUMMYFUNCTION("""COMPUTED_VALUE"""),10.0)</f>
        <v>10</v>
      </c>
      <c r="K32" s="157"/>
      <c r="L32" s="160">
        <f>IFERROR(__xludf.DUMMYFUNCTION("""COMPUTED_VALUE"""),10.0)</f>
        <v>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>
        <f>IFERROR(__xludf.DUMMYFUNCTION("""COMPUTED_VALUE"""),8.0)</f>
        <v>8</v>
      </c>
      <c r="F33" s="155">
        <f>IFERROR(__xludf.DUMMYFUNCTION("""COMPUTED_VALUE"""),2.0)</f>
        <v>2</v>
      </c>
      <c r="G33" s="155">
        <f>IFERROR(__xludf.DUMMYFUNCTION("""COMPUTED_VALUE"""),1.0)</f>
        <v>1</v>
      </c>
      <c r="H33" s="156">
        <f>IFERROR(__xludf.DUMMYFUNCTION("""COMPUTED_VALUE"""),11.0)</f>
        <v>11</v>
      </c>
      <c r="I33" s="157">
        <f>IFERROR(__xludf.DUMMYFUNCTION("""COMPUTED_VALUE"""),0.0)</f>
        <v>0</v>
      </c>
      <c r="J33" s="158">
        <f>IFERROR(__xludf.DUMMYFUNCTION("""COMPUTED_VALUE"""),10.0)</f>
        <v>10</v>
      </c>
      <c r="K33" s="157"/>
      <c r="L33" s="160">
        <f>IFERROR(__xludf.DUMMYFUNCTION("""COMPUTED_VALUE"""),11.0)</f>
        <v>11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>
        <f>IFERROR(__xludf.DUMMYFUNCTION("""COMPUTED_VALUE"""),5.6)</f>
        <v>5.6</v>
      </c>
      <c r="F34" s="155">
        <f>IFERROR(__xludf.DUMMYFUNCTION("""COMPUTED_VALUE"""),2.0)</f>
        <v>2</v>
      </c>
      <c r="G34" s="155">
        <f>IFERROR(__xludf.DUMMYFUNCTION("""COMPUTED_VALUE"""),0.0)</f>
        <v>0</v>
      </c>
      <c r="H34" s="156">
        <f>IFERROR(__xludf.DUMMYFUNCTION("""COMPUTED_VALUE"""),7.6)</f>
        <v>7.6</v>
      </c>
      <c r="I34" s="157">
        <f>IFERROR(__xludf.DUMMYFUNCTION("""COMPUTED_VALUE"""),0.0)</f>
        <v>0</v>
      </c>
      <c r="J34" s="158">
        <f>IFERROR(__xludf.DUMMYFUNCTION("""COMPUTED_VALUE"""),8.0)</f>
        <v>8</v>
      </c>
      <c r="K34" s="157"/>
      <c r="L34" s="160">
        <f>IFERROR(__xludf.DUMMYFUNCTION("""COMPUTED_VALUE"""),8.0)</f>
        <v>8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>
        <f>IFERROR(__xludf.DUMMYFUNCTION("""COMPUTED_VALUE"""),8.0)</f>
        <v>8</v>
      </c>
      <c r="F35" s="155">
        <f>IFERROR(__xludf.DUMMYFUNCTION("""COMPUTED_VALUE"""),2.0)</f>
        <v>2</v>
      </c>
      <c r="G35" s="155">
        <f>IFERROR(__xludf.DUMMYFUNCTION("""COMPUTED_VALUE"""),1.0)</f>
        <v>1</v>
      </c>
      <c r="H35" s="156">
        <f>IFERROR(__xludf.DUMMYFUNCTION("""COMPUTED_VALUE"""),11.0)</f>
        <v>11</v>
      </c>
      <c r="I35" s="157">
        <f>IFERROR(__xludf.DUMMYFUNCTION("""COMPUTED_VALUE"""),0.0)</f>
        <v>0</v>
      </c>
      <c r="J35" s="158">
        <f>IFERROR(__xludf.DUMMYFUNCTION("""COMPUTED_VALUE"""),10.0)</f>
        <v>10</v>
      </c>
      <c r="K35" s="157"/>
      <c r="L35" s="160">
        <f>IFERROR(__xludf.DUMMYFUNCTION("""COMPUTED_VALUE"""),11.0)</f>
        <v>11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>
        <f>IFERROR(__xludf.DUMMYFUNCTION("""COMPUTED_VALUE"""),8.0)</f>
        <v>8</v>
      </c>
      <c r="F36" s="155">
        <f>IFERROR(__xludf.DUMMYFUNCTION("""COMPUTED_VALUE"""),2.0)</f>
        <v>2</v>
      </c>
      <c r="G36" s="155">
        <f>IFERROR(__xludf.DUMMYFUNCTION("""COMPUTED_VALUE"""),1.0)</f>
        <v>1</v>
      </c>
      <c r="H36" s="156">
        <f>IFERROR(__xludf.DUMMYFUNCTION("""COMPUTED_VALUE"""),11.0)</f>
        <v>11</v>
      </c>
      <c r="I36" s="157">
        <f>IFERROR(__xludf.DUMMYFUNCTION("""COMPUTED_VALUE"""),0.0)</f>
        <v>0</v>
      </c>
      <c r="J36" s="158">
        <f>IFERROR(__xludf.DUMMYFUNCTION("""COMPUTED_VALUE"""),10.0)</f>
        <v>10</v>
      </c>
      <c r="K36" s="157"/>
      <c r="L36" s="160">
        <f>IFERROR(__xludf.DUMMYFUNCTION("""COMPUTED_VALUE"""),11.0)</f>
        <v>11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>
        <f>IFERROR(__xludf.DUMMYFUNCTION("""COMPUTED_VALUE"""),6.4)</f>
        <v>6.4</v>
      </c>
      <c r="F37" s="155">
        <f>IFERROR(__xludf.DUMMYFUNCTION("""COMPUTED_VALUE"""),2.0)</f>
        <v>2</v>
      </c>
      <c r="G37" s="155">
        <f>IFERROR(__xludf.DUMMYFUNCTION("""COMPUTED_VALUE"""),1.0)</f>
        <v>1</v>
      </c>
      <c r="H37" s="156">
        <f>IFERROR(__xludf.DUMMYFUNCTION("""COMPUTED_VALUE"""),9.4)</f>
        <v>9.4</v>
      </c>
      <c r="I37" s="157">
        <f>IFERROR(__xludf.DUMMYFUNCTION("""COMPUTED_VALUE"""),0.0)</f>
        <v>0</v>
      </c>
      <c r="J37" s="158">
        <f>IFERROR(__xludf.DUMMYFUNCTION("""COMPUTED_VALUE"""),9.0)</f>
        <v>9</v>
      </c>
      <c r="K37" s="157"/>
      <c r="L37" s="160">
        <f>IFERROR(__xludf.DUMMYFUNCTION("""COMPUTED_VALUE"""),9.0)</f>
        <v>9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>
        <f>IFERROR(__xludf.DUMMYFUNCTION("""COMPUTED_VALUE"""),7.2)</f>
        <v>7.2</v>
      </c>
      <c r="F38" s="155">
        <f>IFERROR(__xludf.DUMMYFUNCTION("""COMPUTED_VALUE"""),2.0)</f>
        <v>2</v>
      </c>
      <c r="G38" s="155">
        <f>IFERROR(__xludf.DUMMYFUNCTION("""COMPUTED_VALUE"""),0.0)</f>
        <v>0</v>
      </c>
      <c r="H38" s="156">
        <f>IFERROR(__xludf.DUMMYFUNCTION("""COMPUTED_VALUE"""),9.2)</f>
        <v>9.2</v>
      </c>
      <c r="I38" s="157">
        <f>IFERROR(__xludf.DUMMYFUNCTION("""COMPUTED_VALUE"""),0.0)</f>
        <v>0</v>
      </c>
      <c r="J38" s="158">
        <f>IFERROR(__xludf.DUMMYFUNCTION("""COMPUTED_VALUE"""),9.0)</f>
        <v>9</v>
      </c>
      <c r="K38" s="157"/>
      <c r="L38" s="160">
        <f>IFERROR(__xludf.DUMMYFUNCTION("""COMPUTED_VALUE"""),9.0)</f>
        <v>9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>
        <f>IFERROR(__xludf.DUMMYFUNCTION("""COMPUTED_VALUE"""),8.0)</f>
        <v>8</v>
      </c>
      <c r="F39" s="155">
        <f>IFERROR(__xludf.DUMMYFUNCTION("""COMPUTED_VALUE"""),2.0)</f>
        <v>2</v>
      </c>
      <c r="G39" s="155">
        <f>IFERROR(__xludf.DUMMYFUNCTION("""COMPUTED_VALUE"""),0.0)</f>
        <v>0</v>
      </c>
      <c r="H39" s="156">
        <f>IFERROR(__xludf.DUMMYFUNCTION("""COMPUTED_VALUE"""),10.0)</f>
        <v>10</v>
      </c>
      <c r="I39" s="157">
        <f>IFERROR(__xludf.DUMMYFUNCTION("""COMPUTED_VALUE"""),0.0)</f>
        <v>0</v>
      </c>
      <c r="J39" s="158">
        <f>IFERROR(__xludf.DUMMYFUNCTION("""COMPUTED_VALUE"""),10.0)</f>
        <v>10</v>
      </c>
      <c r="K39" s="157"/>
      <c r="L39" s="160">
        <f>IFERROR(__xludf.DUMMYFUNCTION("""COMPUTED_VALUE"""),10.0)</f>
        <v>10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>
        <f>IFERROR(__xludf.DUMMYFUNCTION("""COMPUTED_VALUE"""),4.0)</f>
        <v>4</v>
      </c>
      <c r="F40" s="155">
        <f>IFERROR(__xludf.DUMMYFUNCTION("""COMPUTED_VALUE"""),2.0)</f>
        <v>2</v>
      </c>
      <c r="G40" s="155">
        <f>IFERROR(__xludf.DUMMYFUNCTION("""COMPUTED_VALUE"""),0.0)</f>
        <v>0</v>
      </c>
      <c r="H40" s="156">
        <f>IFERROR(__xludf.DUMMYFUNCTION("""COMPUTED_VALUE"""),6.0)</f>
        <v>6</v>
      </c>
      <c r="I40" s="157">
        <f>IFERROR(__xludf.DUMMYFUNCTION("""COMPUTED_VALUE"""),0.0)</f>
        <v>0</v>
      </c>
      <c r="J40" s="158">
        <f>IFERROR(__xludf.DUMMYFUNCTION("""COMPUTED_VALUE"""),6.0)</f>
        <v>6</v>
      </c>
      <c r="K40" s="157"/>
      <c r="L40" s="160">
        <f>IFERROR(__xludf.DUMMYFUNCTION("""COMPUTED_VALUE"""),6.0)</f>
        <v>6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>
        <f>IFERROR(__xludf.DUMMYFUNCTION("""COMPUTED_VALUE"""),7.2)</f>
        <v>7.2</v>
      </c>
      <c r="F41" s="155">
        <f>IFERROR(__xludf.DUMMYFUNCTION("""COMPUTED_VALUE"""),2.0)</f>
        <v>2</v>
      </c>
      <c r="G41" s="155">
        <f>IFERROR(__xludf.DUMMYFUNCTION("""COMPUTED_VALUE"""),0.0)</f>
        <v>0</v>
      </c>
      <c r="H41" s="156">
        <f>IFERROR(__xludf.DUMMYFUNCTION("""COMPUTED_VALUE"""),9.2)</f>
        <v>9.2</v>
      </c>
      <c r="I41" s="157">
        <f>IFERROR(__xludf.DUMMYFUNCTION("""COMPUTED_VALUE"""),0.0)</f>
        <v>0</v>
      </c>
      <c r="J41" s="158">
        <f>IFERROR(__xludf.DUMMYFUNCTION("""COMPUTED_VALUE"""),9.0)</f>
        <v>9</v>
      </c>
      <c r="K41" s="157"/>
      <c r="L41" s="160">
        <f>IFERROR(__xludf.DUMMYFUNCTION("""COMPUTED_VALUE"""),9.0)</f>
        <v>9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>
        <f>IFERROR(__xludf.DUMMYFUNCTION("""COMPUTED_VALUE"""),6.4)</f>
        <v>6.4</v>
      </c>
      <c r="F42" s="155">
        <f>IFERROR(__xludf.DUMMYFUNCTION("""COMPUTED_VALUE"""),2.0)</f>
        <v>2</v>
      </c>
      <c r="G42" s="155">
        <f>IFERROR(__xludf.DUMMYFUNCTION("""COMPUTED_VALUE"""),0.0)</f>
        <v>0</v>
      </c>
      <c r="H42" s="156">
        <f>IFERROR(__xludf.DUMMYFUNCTION("""COMPUTED_VALUE"""),8.4)</f>
        <v>8.4</v>
      </c>
      <c r="I42" s="157">
        <f>IFERROR(__xludf.DUMMYFUNCTION("""COMPUTED_VALUE"""),0.0)</f>
        <v>0</v>
      </c>
      <c r="J42" s="158">
        <f>IFERROR(__xludf.DUMMYFUNCTION("""COMPUTED_VALUE"""),8.0)</f>
        <v>8</v>
      </c>
      <c r="K42" s="157"/>
      <c r="L42" s="160">
        <f>IFERROR(__xludf.DUMMYFUNCTION("""COMPUTED_VALUE"""),8.0)</f>
        <v>8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>
        <f>IFERROR(__xludf.DUMMYFUNCTION("""COMPUTED_VALUE"""),8.0)</f>
        <v>8</v>
      </c>
      <c r="F43" s="155">
        <f>IFERROR(__xludf.DUMMYFUNCTION("""COMPUTED_VALUE"""),2.0)</f>
        <v>2</v>
      </c>
      <c r="G43" s="155">
        <f>IFERROR(__xludf.DUMMYFUNCTION("""COMPUTED_VALUE"""),1.0)</f>
        <v>1</v>
      </c>
      <c r="H43" s="156">
        <f>IFERROR(__xludf.DUMMYFUNCTION("""COMPUTED_VALUE"""),11.0)</f>
        <v>11</v>
      </c>
      <c r="I43" s="157">
        <f>IFERROR(__xludf.DUMMYFUNCTION("""COMPUTED_VALUE"""),0.0)</f>
        <v>0</v>
      </c>
      <c r="J43" s="158">
        <f>IFERROR(__xludf.DUMMYFUNCTION("""COMPUTED_VALUE"""),10.0)</f>
        <v>10</v>
      </c>
      <c r="K43" s="157"/>
      <c r="L43" s="160">
        <f>IFERROR(__xludf.DUMMYFUNCTION("""COMPUTED_VALUE"""),11.0)</f>
        <v>11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155">
        <f>IFERROR(__xludf.DUMMYFUNCTION("""COMPUTED_VALUE"""),6.4)</f>
        <v>6.4</v>
      </c>
      <c r="F44" s="155">
        <f>IFERROR(__xludf.DUMMYFUNCTION("""COMPUTED_VALUE"""),2.0)</f>
        <v>2</v>
      </c>
      <c r="G44" s="155">
        <f>IFERROR(__xludf.DUMMYFUNCTION("""COMPUTED_VALUE"""),0.0)</f>
        <v>0</v>
      </c>
      <c r="H44" s="156">
        <f>IFERROR(__xludf.DUMMYFUNCTION("""COMPUTED_VALUE"""),8.4)</f>
        <v>8.4</v>
      </c>
      <c r="I44" s="157">
        <f>IFERROR(__xludf.DUMMYFUNCTION("""COMPUTED_VALUE"""),0.0)</f>
        <v>0</v>
      </c>
      <c r="J44" s="158">
        <f>IFERROR(__xludf.DUMMYFUNCTION("""COMPUTED_VALUE"""),8.0)</f>
        <v>8</v>
      </c>
      <c r="K44" s="157"/>
      <c r="L44" s="160">
        <f>IFERROR(__xludf.DUMMYFUNCTION("""COMPUTED_VALUE"""),8.0)</f>
        <v>8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155">
        <f>IFERROR(__xludf.DUMMYFUNCTION("""COMPUTED_VALUE"""),5.6)</f>
        <v>5.6</v>
      </c>
      <c r="F45" s="155">
        <f>IFERROR(__xludf.DUMMYFUNCTION("""COMPUTED_VALUE"""),2.0)</f>
        <v>2</v>
      </c>
      <c r="G45" s="155">
        <f>IFERROR(__xludf.DUMMYFUNCTION("""COMPUTED_VALUE"""),0.0)</f>
        <v>0</v>
      </c>
      <c r="H45" s="156">
        <f>IFERROR(__xludf.DUMMYFUNCTION("""COMPUTED_VALUE"""),7.6)</f>
        <v>7.6</v>
      </c>
      <c r="I45" s="157">
        <f>IFERROR(__xludf.DUMMYFUNCTION("""COMPUTED_VALUE"""),0.0)</f>
        <v>0</v>
      </c>
      <c r="J45" s="158">
        <f>IFERROR(__xludf.DUMMYFUNCTION("""COMPUTED_VALUE"""),8.0)</f>
        <v>8</v>
      </c>
      <c r="K45" s="157"/>
      <c r="L45" s="160">
        <f>IFERROR(__xludf.DUMMYFUNCTION("""COMPUTED_VALUE"""),8.0)</f>
        <v>8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155">
        <f>IFERROR(__xludf.DUMMYFUNCTION("""COMPUTED_VALUE"""),4.8)</f>
        <v>4.8</v>
      </c>
      <c r="F46" s="155">
        <f>IFERROR(__xludf.DUMMYFUNCTION("""COMPUTED_VALUE"""),2.0)</f>
        <v>2</v>
      </c>
      <c r="G46" s="155">
        <f>IFERROR(__xludf.DUMMYFUNCTION("""COMPUTED_VALUE"""),0.0)</f>
        <v>0</v>
      </c>
      <c r="H46" s="156">
        <f>IFERROR(__xludf.DUMMYFUNCTION("""COMPUTED_VALUE"""),6.8)</f>
        <v>6.8</v>
      </c>
      <c r="I46" s="157">
        <f>IFERROR(__xludf.DUMMYFUNCTION("""COMPUTED_VALUE"""),0.0)</f>
        <v>0</v>
      </c>
      <c r="J46" s="158">
        <f>IFERROR(__xludf.DUMMYFUNCTION("""COMPUTED_VALUE"""),7.0)</f>
        <v>7</v>
      </c>
      <c r="K46" s="157"/>
      <c r="L46" s="160">
        <f>IFERROR(__xludf.DUMMYFUNCTION("""COMPUTED_VALUE"""),7.0)</f>
        <v>7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155">
        <f>IFERROR(__xludf.DUMMYFUNCTION("""COMPUTED_VALUE"""),8.0)</f>
        <v>8</v>
      </c>
      <c r="F47" s="155">
        <f>IFERROR(__xludf.DUMMYFUNCTION("""COMPUTED_VALUE"""),2.0)</f>
        <v>2</v>
      </c>
      <c r="G47" s="155">
        <f>IFERROR(__xludf.DUMMYFUNCTION("""COMPUTED_VALUE"""),1.0)</f>
        <v>1</v>
      </c>
      <c r="H47" s="156">
        <f>IFERROR(__xludf.DUMMYFUNCTION("""COMPUTED_VALUE"""),11.0)</f>
        <v>11</v>
      </c>
      <c r="I47" s="157">
        <f>IFERROR(__xludf.DUMMYFUNCTION("""COMPUTED_VALUE"""),0.0)</f>
        <v>0</v>
      </c>
      <c r="J47" s="158">
        <f>IFERROR(__xludf.DUMMYFUNCTION("""COMPUTED_VALUE"""),10.0)</f>
        <v>10</v>
      </c>
      <c r="K47" s="157"/>
      <c r="L47" s="160">
        <f>IFERROR(__xludf.DUMMYFUNCTION("""COMPUTED_VALUE"""),11.0)</f>
        <v>11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155">
        <f>IFERROR(__xludf.DUMMYFUNCTION("""COMPUTED_VALUE"""),8.0)</f>
        <v>8</v>
      </c>
      <c r="F48" s="155">
        <f>IFERROR(__xludf.DUMMYFUNCTION("""COMPUTED_VALUE"""),2.0)</f>
        <v>2</v>
      </c>
      <c r="G48" s="155">
        <f>IFERROR(__xludf.DUMMYFUNCTION("""COMPUTED_VALUE"""),1.0)</f>
        <v>1</v>
      </c>
      <c r="H48" s="156">
        <f>IFERROR(__xludf.DUMMYFUNCTION("""COMPUTED_VALUE"""),11.0)</f>
        <v>11</v>
      </c>
      <c r="I48" s="157">
        <f>IFERROR(__xludf.DUMMYFUNCTION("""COMPUTED_VALUE"""),0.0)</f>
        <v>0</v>
      </c>
      <c r="J48" s="158">
        <f>IFERROR(__xludf.DUMMYFUNCTION("""COMPUTED_VALUE"""),10.0)</f>
        <v>10</v>
      </c>
      <c r="K48" s="157"/>
      <c r="L48" s="160">
        <f>IFERROR(__xludf.DUMMYFUNCTION("""COMPUTED_VALUE"""),11.0)</f>
        <v>11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155">
        <f>IFERROR(__xludf.DUMMYFUNCTION("""COMPUTED_VALUE"""),5.6)</f>
        <v>5.6</v>
      </c>
      <c r="F49" s="155">
        <f>IFERROR(__xludf.DUMMYFUNCTION("""COMPUTED_VALUE"""),2.0)</f>
        <v>2</v>
      </c>
      <c r="G49" s="155">
        <f>IFERROR(__xludf.DUMMYFUNCTION("""COMPUTED_VALUE"""),0.0)</f>
        <v>0</v>
      </c>
      <c r="H49" s="156">
        <f>IFERROR(__xludf.DUMMYFUNCTION("""COMPUTED_VALUE"""),7.6)</f>
        <v>7.6</v>
      </c>
      <c r="I49" s="157">
        <f>IFERROR(__xludf.DUMMYFUNCTION("""COMPUTED_VALUE"""),0.0)</f>
        <v>0</v>
      </c>
      <c r="J49" s="158">
        <f>IFERROR(__xludf.DUMMYFUNCTION("""COMPUTED_VALUE"""),8.0)</f>
        <v>8</v>
      </c>
      <c r="K49" s="157"/>
      <c r="L49" s="160">
        <f>IFERROR(__xludf.DUMMYFUNCTION("""COMPUTED_VALUE"""),8.0)</f>
        <v>8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155">
        <f>IFERROR(__xludf.DUMMYFUNCTION("""COMPUTED_VALUE"""),7.2)</f>
        <v>7.2</v>
      </c>
      <c r="F50" s="155">
        <f>IFERROR(__xludf.DUMMYFUNCTION("""COMPUTED_VALUE"""),2.0)</f>
        <v>2</v>
      </c>
      <c r="G50" s="155">
        <f>IFERROR(__xludf.DUMMYFUNCTION("""COMPUTED_VALUE"""),0.0)</f>
        <v>0</v>
      </c>
      <c r="H50" s="156">
        <f>IFERROR(__xludf.DUMMYFUNCTION("""COMPUTED_VALUE"""),9.2)</f>
        <v>9.2</v>
      </c>
      <c r="I50" s="157">
        <f>IFERROR(__xludf.DUMMYFUNCTION("""COMPUTED_VALUE"""),0.0)</f>
        <v>0</v>
      </c>
      <c r="J50" s="158">
        <f>IFERROR(__xludf.DUMMYFUNCTION("""COMPUTED_VALUE"""),9.0)</f>
        <v>9</v>
      </c>
      <c r="K50" s="157"/>
      <c r="L50" s="160">
        <f>IFERROR(__xludf.DUMMYFUNCTION("""COMPUTED_VALUE"""),9.0)</f>
        <v>9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155">
        <f>IFERROR(__xludf.DUMMYFUNCTION("""COMPUTED_VALUE"""),7.2)</f>
        <v>7.2</v>
      </c>
      <c r="F51" s="155">
        <f>IFERROR(__xludf.DUMMYFUNCTION("""COMPUTED_VALUE"""),2.0)</f>
        <v>2</v>
      </c>
      <c r="G51" s="155">
        <f>IFERROR(__xludf.DUMMYFUNCTION("""COMPUTED_VALUE"""),0.0)</f>
        <v>0</v>
      </c>
      <c r="H51" s="156">
        <f>IFERROR(__xludf.DUMMYFUNCTION("""COMPUTED_VALUE"""),9.2)</f>
        <v>9.2</v>
      </c>
      <c r="I51" s="157">
        <f>IFERROR(__xludf.DUMMYFUNCTION("""COMPUTED_VALUE"""),0.0)</f>
        <v>0</v>
      </c>
      <c r="J51" s="158">
        <f>IFERROR(__xludf.DUMMYFUNCTION("""COMPUTED_VALUE"""),9.0)</f>
        <v>9</v>
      </c>
      <c r="K51" s="157"/>
      <c r="L51" s="161">
        <f>IFERROR(__xludf.DUMMYFUNCTION("""COMPUTED_VALUE"""),9.0)</f>
        <v>9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155">
        <f>IFERROR(__xludf.DUMMYFUNCTION("""COMPUTED_VALUE"""),8.0)</f>
        <v>8</v>
      </c>
      <c r="F52" s="155">
        <f>IFERROR(__xludf.DUMMYFUNCTION("""COMPUTED_VALUE"""),2.0)</f>
        <v>2</v>
      </c>
      <c r="G52" s="155">
        <f>IFERROR(__xludf.DUMMYFUNCTION("""COMPUTED_VALUE"""),0.0)</f>
        <v>0</v>
      </c>
      <c r="H52" s="156">
        <f>IFERROR(__xludf.DUMMYFUNCTION("""COMPUTED_VALUE"""),10.0)</f>
        <v>10</v>
      </c>
      <c r="I52" s="157">
        <f>IFERROR(__xludf.DUMMYFUNCTION("""COMPUTED_VALUE"""),0.0)</f>
        <v>0</v>
      </c>
      <c r="J52" s="158">
        <f>IFERROR(__xludf.DUMMYFUNCTION("""COMPUTED_VALUE"""),10.0)</f>
        <v>10</v>
      </c>
      <c r="K52" s="157"/>
      <c r="L52" s="161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155">
        <f>IFERROR(__xludf.DUMMYFUNCTION("""COMPUTED_VALUE"""),7.2)</f>
        <v>7.2</v>
      </c>
      <c r="F53" s="155">
        <f>IFERROR(__xludf.DUMMYFUNCTION("""COMPUTED_VALUE"""),2.0)</f>
        <v>2</v>
      </c>
      <c r="G53" s="155">
        <f>IFERROR(__xludf.DUMMYFUNCTION("""COMPUTED_VALUE"""),0.0)</f>
        <v>0</v>
      </c>
      <c r="H53" s="156">
        <f>IFERROR(__xludf.DUMMYFUNCTION("""COMPUTED_VALUE"""),9.2)</f>
        <v>9.2</v>
      </c>
      <c r="I53" s="157">
        <f>IFERROR(__xludf.DUMMYFUNCTION("""COMPUTED_VALUE"""),0.0)</f>
        <v>0</v>
      </c>
      <c r="J53" s="158">
        <f>IFERROR(__xludf.DUMMYFUNCTION("""COMPUTED_VALUE"""),9.0)</f>
        <v>9</v>
      </c>
      <c r="K53" s="157"/>
      <c r="L53" s="161">
        <f>IFERROR(__xludf.DUMMYFUNCTION("""COMPUTED_VALUE"""),9.0)</f>
        <v>9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155">
        <f>IFERROR(__xludf.DUMMYFUNCTION("""COMPUTED_VALUE"""),8.0)</f>
        <v>8</v>
      </c>
      <c r="F54" s="155">
        <f>IFERROR(__xludf.DUMMYFUNCTION("""COMPUTED_VALUE"""),2.0)</f>
        <v>2</v>
      </c>
      <c r="G54" s="155">
        <f>IFERROR(__xludf.DUMMYFUNCTION("""COMPUTED_VALUE"""),0.0)</f>
        <v>0</v>
      </c>
      <c r="H54" s="156">
        <f>IFERROR(__xludf.DUMMYFUNCTION("""COMPUTED_VALUE"""),10.0)</f>
        <v>10</v>
      </c>
      <c r="I54" s="162">
        <f>IFERROR(__xludf.DUMMYFUNCTION("""COMPUTED_VALUE"""),0.0)</f>
        <v>0</v>
      </c>
      <c r="J54" s="158">
        <f>IFERROR(__xludf.DUMMYFUNCTION("""COMPUTED_VALUE"""),10.0)</f>
        <v>10</v>
      </c>
      <c r="K54" s="157"/>
      <c r="L54" s="161">
        <f>IFERROR(__xludf.DUMMYFUNCTION("""COMPUTED_VALUE"""),10.0)</f>
        <v>10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155">
        <f>IFERROR(__xludf.DUMMYFUNCTION("""COMPUTED_VALUE"""),6.4)</f>
        <v>6.4</v>
      </c>
      <c r="F55" s="155">
        <f>IFERROR(__xludf.DUMMYFUNCTION("""COMPUTED_VALUE"""),2.0)</f>
        <v>2</v>
      </c>
      <c r="G55" s="155">
        <f>IFERROR(__xludf.DUMMYFUNCTION("""COMPUTED_VALUE"""),0.0)</f>
        <v>0</v>
      </c>
      <c r="H55" s="156">
        <f>IFERROR(__xludf.DUMMYFUNCTION("""COMPUTED_VALUE"""),8.4)</f>
        <v>8.4</v>
      </c>
      <c r="I55" s="162">
        <f>IFERROR(__xludf.DUMMYFUNCTION("""COMPUTED_VALUE"""),0.0)</f>
        <v>0</v>
      </c>
      <c r="J55" s="158">
        <f>IFERROR(__xludf.DUMMYFUNCTION("""COMPUTED_VALUE"""),8.0)</f>
        <v>8</v>
      </c>
      <c r="K55" s="157"/>
      <c r="L55" s="161">
        <f>IFERROR(__xludf.DUMMYFUNCTION("""COMPUTED_VALUE"""),8.0)</f>
        <v>8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155">
        <f>IFERROR(__xludf.DUMMYFUNCTION("""COMPUTED_VALUE"""),6.4)</f>
        <v>6.4</v>
      </c>
      <c r="F56" s="155">
        <f>IFERROR(__xludf.DUMMYFUNCTION("""COMPUTED_VALUE"""),2.0)</f>
        <v>2</v>
      </c>
      <c r="G56" s="155">
        <f>IFERROR(__xludf.DUMMYFUNCTION("""COMPUTED_VALUE"""),1.0)</f>
        <v>1</v>
      </c>
      <c r="H56" s="156">
        <f>IFERROR(__xludf.DUMMYFUNCTION("""COMPUTED_VALUE"""),9.4)</f>
        <v>9.4</v>
      </c>
      <c r="I56" s="162">
        <f>IFERROR(__xludf.DUMMYFUNCTION("""COMPUTED_VALUE"""),0.0)</f>
        <v>0</v>
      </c>
      <c r="J56" s="158">
        <f>IFERROR(__xludf.DUMMYFUNCTION("""COMPUTED_VALUE"""),9.0)</f>
        <v>9</v>
      </c>
      <c r="K56" s="157"/>
      <c r="L56" s="161">
        <f>IFERROR(__xludf.DUMMYFUNCTION("""COMPUTED_VALUE"""),9.0)</f>
        <v>9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155">
        <f>IFERROR(__xludf.DUMMYFUNCTION("""COMPUTED_VALUE"""),8.0)</f>
        <v>8</v>
      </c>
      <c r="F57" s="155">
        <f>IFERROR(__xludf.DUMMYFUNCTION("""COMPUTED_VALUE"""),2.0)</f>
        <v>2</v>
      </c>
      <c r="G57" s="155">
        <f>IFERROR(__xludf.DUMMYFUNCTION("""COMPUTED_VALUE"""),0.0)</f>
        <v>0</v>
      </c>
      <c r="H57" s="156">
        <f>IFERROR(__xludf.DUMMYFUNCTION("""COMPUTED_VALUE"""),10.0)</f>
        <v>10</v>
      </c>
      <c r="I57" s="162">
        <f>IFERROR(__xludf.DUMMYFUNCTION("""COMPUTED_VALUE"""),0.0)</f>
        <v>0</v>
      </c>
      <c r="J57" s="158">
        <f>IFERROR(__xludf.DUMMYFUNCTION("""COMPUTED_VALUE"""),10.0)</f>
        <v>10</v>
      </c>
      <c r="K57" s="157"/>
      <c r="L57" s="161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155">
        <f>IFERROR(__xludf.DUMMYFUNCTION("""COMPUTED_VALUE"""),8.0)</f>
        <v>8</v>
      </c>
      <c r="F58" s="155">
        <f>IFERROR(__xludf.DUMMYFUNCTION("""COMPUTED_VALUE"""),2.0)</f>
        <v>2</v>
      </c>
      <c r="G58" s="155">
        <f>IFERROR(__xludf.DUMMYFUNCTION("""COMPUTED_VALUE"""),0.0)</f>
        <v>0</v>
      </c>
      <c r="H58" s="156">
        <f>IFERROR(__xludf.DUMMYFUNCTION("""COMPUTED_VALUE"""),10.0)</f>
        <v>10</v>
      </c>
      <c r="I58" s="162">
        <f>IFERROR(__xludf.DUMMYFUNCTION("""COMPUTED_VALUE"""),0.0)</f>
        <v>0</v>
      </c>
      <c r="J58" s="158">
        <f>IFERROR(__xludf.DUMMYFUNCTION("""COMPUTED_VALUE"""),10.0)</f>
        <v>10</v>
      </c>
      <c r="K58" s="157"/>
      <c r="L58" s="161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155">
        <f>IFERROR(__xludf.DUMMYFUNCTION("""COMPUTED_VALUE"""),7.2)</f>
        <v>7.2</v>
      </c>
      <c r="F59" s="155">
        <f>IFERROR(__xludf.DUMMYFUNCTION("""COMPUTED_VALUE"""),2.0)</f>
        <v>2</v>
      </c>
      <c r="G59" s="155">
        <f>IFERROR(__xludf.DUMMYFUNCTION("""COMPUTED_VALUE"""),0.0)</f>
        <v>0</v>
      </c>
      <c r="H59" s="156">
        <f>IFERROR(__xludf.DUMMYFUNCTION("""COMPUTED_VALUE"""),9.2)</f>
        <v>9.2</v>
      </c>
      <c r="I59" s="162">
        <f>IFERROR(__xludf.DUMMYFUNCTION("""COMPUTED_VALUE"""),0.0)</f>
        <v>0</v>
      </c>
      <c r="J59" s="158">
        <f>IFERROR(__xludf.DUMMYFUNCTION("""COMPUTED_VALUE"""),9.0)</f>
        <v>9</v>
      </c>
      <c r="K59" s="157"/>
      <c r="L59" s="161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155">
        <f>IFERROR(__xludf.DUMMYFUNCTION("""COMPUTED_VALUE"""),7.2)</f>
        <v>7.2</v>
      </c>
      <c r="F60" s="155">
        <f>IFERROR(__xludf.DUMMYFUNCTION("""COMPUTED_VALUE"""),2.0)</f>
        <v>2</v>
      </c>
      <c r="G60" s="155">
        <f>IFERROR(__xludf.DUMMYFUNCTION("""COMPUTED_VALUE"""),0.0)</f>
        <v>0</v>
      </c>
      <c r="H60" s="156">
        <f>IFERROR(__xludf.DUMMYFUNCTION("""COMPUTED_VALUE"""),9.2)</f>
        <v>9.2</v>
      </c>
      <c r="I60" s="162">
        <f>IFERROR(__xludf.DUMMYFUNCTION("""COMPUTED_VALUE"""),0.0)</f>
        <v>0</v>
      </c>
      <c r="J60" s="158">
        <f>IFERROR(__xludf.DUMMYFUNCTION("""COMPUTED_VALUE"""),9.0)</f>
        <v>9</v>
      </c>
      <c r="K60" s="157"/>
      <c r="L60" s="161">
        <f>IFERROR(__xludf.DUMMYFUNCTION("""COMPUTED_VALUE"""),9.0)</f>
        <v>9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155">
        <f>IFERROR(__xludf.DUMMYFUNCTION("""COMPUTED_VALUE"""),7.2)</f>
        <v>7.2</v>
      </c>
      <c r="F61" s="155">
        <f>IFERROR(__xludf.DUMMYFUNCTION("""COMPUTED_VALUE"""),2.0)</f>
        <v>2</v>
      </c>
      <c r="G61" s="155">
        <f>IFERROR(__xludf.DUMMYFUNCTION("""COMPUTED_VALUE"""),0.0)</f>
        <v>0</v>
      </c>
      <c r="H61" s="156">
        <f>IFERROR(__xludf.DUMMYFUNCTION("""COMPUTED_VALUE"""),9.2)</f>
        <v>9.2</v>
      </c>
      <c r="I61" s="162">
        <f>IFERROR(__xludf.DUMMYFUNCTION("""COMPUTED_VALUE"""),0.0)</f>
        <v>0</v>
      </c>
      <c r="J61" s="158">
        <f>IFERROR(__xludf.DUMMYFUNCTION("""COMPUTED_VALUE"""),9.0)</f>
        <v>9</v>
      </c>
      <c r="K61" s="157"/>
      <c r="L61" s="161">
        <f>IFERROR(__xludf.DUMMYFUNCTION("""COMPUTED_VALUE"""),9.0)</f>
        <v>9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155">
        <f>IFERROR(__xludf.DUMMYFUNCTION("""COMPUTED_VALUE"""),8.0)</f>
        <v>8</v>
      </c>
      <c r="F62" s="155">
        <f>IFERROR(__xludf.DUMMYFUNCTION("""COMPUTED_VALUE"""),2.0)</f>
        <v>2</v>
      </c>
      <c r="G62" s="155">
        <f>IFERROR(__xludf.DUMMYFUNCTION("""COMPUTED_VALUE"""),1.0)</f>
        <v>1</v>
      </c>
      <c r="H62" s="156">
        <f>IFERROR(__xludf.DUMMYFUNCTION("""COMPUTED_VALUE"""),11.0)</f>
        <v>11</v>
      </c>
      <c r="I62" s="162">
        <f>IFERROR(__xludf.DUMMYFUNCTION("""COMPUTED_VALUE"""),0.0)</f>
        <v>0</v>
      </c>
      <c r="J62" s="158">
        <f>IFERROR(__xludf.DUMMYFUNCTION("""COMPUTED_VALUE"""),10.0)</f>
        <v>10</v>
      </c>
      <c r="K62" s="157"/>
      <c r="L62" s="161">
        <f>IFERROR(__xludf.DUMMYFUNCTION("""COMPUTED_VALUE"""),11.0)</f>
        <v>11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155">
        <f>IFERROR(__xludf.DUMMYFUNCTION("""COMPUTED_VALUE"""),5.6)</f>
        <v>5.6</v>
      </c>
      <c r="F63" s="155">
        <f>IFERROR(__xludf.DUMMYFUNCTION("""COMPUTED_VALUE"""),2.0)</f>
        <v>2</v>
      </c>
      <c r="G63" s="155">
        <f>IFERROR(__xludf.DUMMYFUNCTION("""COMPUTED_VALUE"""),0.0)</f>
        <v>0</v>
      </c>
      <c r="H63" s="156">
        <f>IFERROR(__xludf.DUMMYFUNCTION("""COMPUTED_VALUE"""),7.6)</f>
        <v>7.6</v>
      </c>
      <c r="I63" s="162">
        <f>IFERROR(__xludf.DUMMYFUNCTION("""COMPUTED_VALUE"""),0.0)</f>
        <v>0</v>
      </c>
      <c r="J63" s="158">
        <f>IFERROR(__xludf.DUMMYFUNCTION("""COMPUTED_VALUE"""),8.0)</f>
        <v>8</v>
      </c>
      <c r="K63" s="157"/>
      <c r="L63" s="161">
        <f>IFERROR(__xludf.DUMMYFUNCTION("""COMPUTED_VALUE"""),8.0)</f>
        <v>8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/>
      <c r="B64" s="163"/>
      <c r="C64" s="163"/>
      <c r="D64" s="127"/>
      <c r="E64" s="164"/>
      <c r="F64" s="164"/>
      <c r="G64" s="164"/>
      <c r="H64" s="164"/>
      <c r="I64" s="132"/>
      <c r="J64" s="165"/>
      <c r="K64" s="128"/>
      <c r="L64" s="165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 t="str">
        <f>IFERROR(__xludf.DUMMYFUNCTION("""COMPUTED_VALUE"""),"No. DE ALUMNOS INSCRITOS")</f>
        <v>No. DE ALUMNOS INSCRITOS</v>
      </c>
      <c r="C65" s="74"/>
      <c r="D65" s="167">
        <f>IFERROR(__xludf.DUMMYFUNCTION("""COMPUTED_VALUE"""),47.0)</f>
        <v>47</v>
      </c>
      <c r="E65" s="164"/>
      <c r="F65" s="168" t="str">
        <f>IFERROR(__xludf.DUMMYFUNCTION("""COMPUTED_VALUE"""),"FIRMA DEL PROFESOR")</f>
        <v>FIRMA DEL PROFESOR</v>
      </c>
      <c r="G65" s="164"/>
      <c r="H65" s="168" t="str">
        <f>IFERROR(__xludf.DUMMYFUNCTION("""COMPUTED_VALUE"""),"FIRMA DEL ORIENTADOR")</f>
        <v>FIRMA DEL ORIENTADOR</v>
      </c>
      <c r="J65" s="169" t="str">
        <f>IFERROR(__xludf.DUMMYFUNCTION("""COMPUTED_VALUE"""),"Vo. Bo. SUBDIRECCIÓN ESCOLAR")</f>
        <v>Vo. Bo. SUBDIRECCIÓN ESCOLAR</v>
      </c>
      <c r="K65" s="170" t="str">
        <f>IFERROR(__xludf.DUMMYFUNCTION("""COMPUTED_VALUE"""),"REVISADO POR SECRETARIA ESCOLAR ")</f>
        <v>REVISADO POR SECRETARIA ESCOLAR </v>
      </c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IFERROR(__xludf.DUMMYFUNCTION("""COMPUTED_VALUE"""),"BAJAS DURANTE EL SEMESTRE")</f>
        <v>BAJAS DURANTE EL SEMESTRE</v>
      </c>
      <c r="C66" s="81"/>
      <c r="D66" s="172">
        <f>IFERROR(__xludf.DUMMYFUNCTION("""COMPUTED_VALUE"""),0.0)</f>
        <v>0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IFERROR(__xludf.DUMMYFUNCTION("""COMPUTED_VALUE"""),"EXISTENCIA")</f>
        <v>EXISTENCIA</v>
      </c>
      <c r="C67" s="81"/>
      <c r="D67" s="173">
        <f>IFERROR(__xludf.DUMMYFUNCTION("""COMPUTED_VALUE"""),47.0)</f>
        <v>47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IFERROR(__xludf.DUMMYFUNCTION("""COMPUTED_VALUE"""),"No. DE ALUMNOS APROBADOS")</f>
        <v>No. DE ALUMNOS APROBADOS</v>
      </c>
      <c r="C68" s="81"/>
      <c r="D68" s="174">
        <f>IFERROR(__xludf.DUMMYFUNCTION("""COMPUTED_VALUE"""),47.0)</f>
        <v>47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REPROBADOS")</f>
        <v>No. DE ALUMNOS REPROBADOS</v>
      </c>
      <c r="C69" s="81"/>
      <c r="D69" s="174">
        <f>IFERROR(__xludf.DUMMYFUNCTION("""COMPUTED_VALUE"""),0.0)</f>
        <v>0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IFERROR(__xludf.DUMMYFUNCTION("""COMPUTED_VALUE"""),"% DE APROBADOS")</f>
        <v>% DE APROBADOS</v>
      </c>
      <c r="C70" s="81"/>
      <c r="D70" s="179">
        <f>IFERROR(__xludf.DUMMYFUNCTION("""COMPUTED_VALUE"""),100.0)</f>
        <v>100</v>
      </c>
      <c r="E70" s="127"/>
      <c r="F70" s="180" t="str">
        <f>IFERROR(__xludf.DUMMYFUNCTION("""COMPUTED_VALUE"""),"PROFR. ")</f>
        <v>PROFR. </v>
      </c>
      <c r="G70" s="130"/>
      <c r="H70" s="95" t="str">
        <f>IFERROR(__xludf.DUMMYFUNCTION("""COMPUTED_VALUE"""),"PROFRA. ANA ISABEL CORREA SALGADO")</f>
        <v>PROFRA. ANA ISABEL CORREA SALGADO</v>
      </c>
      <c r="J70" s="181" t="str">
        <f>IFERROR(__xludf.DUMMYFUNCTION("""COMPUTED_VALUE"""),"PROFR. OCTAVIO VÁZQUEZ BARRETO")</f>
        <v>PROFR. OCTAVIO VÁZQUEZ BARRETO</v>
      </c>
      <c r="K70" s="182" t="str">
        <f>IFERROR(__xludf.DUMMYFUNCTION("""COMPUTED_VALUE"""),"PROFR. ROBERTO PALOMARES MEJÍA ")</f>
        <v>PROFR. ROBERTO PALOMARES MEJÍA 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183" t="str">
        <f>IFERROR(__xludf.DUMMYFUNCTION("""COMPUTED_VALUE"""),"PROMEDIO")</f>
        <v>PROMEDIO</v>
      </c>
      <c r="C71" s="100"/>
      <c r="D71" s="184">
        <f>IFERROR(__xludf.DUMMYFUNCTION("""COMPUTED_VALUE"""),8.97872340425532)</f>
        <v>8.978723404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/>
      <c r="C72" s="121"/>
      <c r="D72" s="121"/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IFERROR(__xludf.DUMMYFUNCTION("IMPORTRANGE(""https://docs.google.com/spreadsheets/d/1oczZkBB4J1AhkTffmv-aGacdvcTpVfBb7fURSv7sJlk/edit?gid=868681460#gid=868681460"",""2-1 mantenimiento de redes de computo!a1:q86"")"),"")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IFERROR(__xludf.DUMMYFUNCTION("""COMPUTED_VALUE"""),"MIGUEL ANGEL SERRANO ESTRADA")</f>
        <v>MIGUEL ANGEL SERRANO ESTRADA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IFERROR(__xludf.DUMMYFUNCTION("""COMPUTED_VALUE"""),"MANTENIMIENTO DE REDES DE CÓMPUTO")</f>
        <v>MANTENIMIENTO DE REDES DE CÓMPUTO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>
        <f>IFERROR(__xludf.DUMMYFUNCTION("""COMPUTED_VALUE"""),6.0)</f>
        <v>6</v>
      </c>
      <c r="F17" s="155">
        <f>IFERROR(__xludf.DUMMYFUNCTION("""COMPUTED_VALUE"""),21.0)</f>
        <v>21</v>
      </c>
      <c r="G17" s="155"/>
      <c r="H17" s="156">
        <f>IFERROR(__xludf.DUMMYFUNCTION("""COMPUTED_VALUE"""),27.0)</f>
        <v>27</v>
      </c>
      <c r="I17" s="157">
        <f>IFERROR(__xludf.DUMMYFUNCTION("""COMPUTED_VALUE"""),1.0)</f>
        <v>1</v>
      </c>
      <c r="J17" s="158">
        <f>IFERROR(__xludf.DUMMYFUNCTION("""COMPUTED_VALUE"""),10.0)</f>
        <v>10</v>
      </c>
      <c r="K17" s="159"/>
      <c r="L17" s="160">
        <f>IFERROR(__xludf.DUMMYFUNCTION("""COMPUTED_VALUE"""),27.0)</f>
        <v>27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>
        <f>IFERROR(__xludf.DUMMYFUNCTION("""COMPUTED_VALUE"""),6.0)</f>
        <v>6</v>
      </c>
      <c r="F18" s="155">
        <f>IFERROR(__xludf.DUMMYFUNCTION("""COMPUTED_VALUE"""),2.0)</f>
        <v>2</v>
      </c>
      <c r="G18" s="155"/>
      <c r="H18" s="156">
        <f>IFERROR(__xludf.DUMMYFUNCTION("""COMPUTED_VALUE"""),8.0)</f>
        <v>8</v>
      </c>
      <c r="I18" s="157">
        <f>IFERROR(__xludf.DUMMYFUNCTION("""COMPUTED_VALUE"""),1.0)</f>
        <v>1</v>
      </c>
      <c r="J18" s="158">
        <f>IFERROR(__xludf.DUMMYFUNCTION("""COMPUTED_VALUE"""),8.0)</f>
        <v>8</v>
      </c>
      <c r="K18" s="157"/>
      <c r="L18" s="160">
        <f>IFERROR(__xludf.DUMMYFUNCTION("""COMPUTED_VALUE"""),8.0)</f>
        <v>8</v>
      </c>
      <c r="M18" s="121" t="str">
        <f>IFERROR(__xludf.DUMMYFUNCTION("""COMPUTED_VALUE"""),"Febrero")</f>
        <v>Febrero</v>
      </c>
      <c r="N18" s="121">
        <f>IFERROR(__xludf.DUMMYFUNCTION("""COMPUTED_VALUE"""),8.0)</f>
        <v>8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>
        <f>IFERROR(__xludf.DUMMYFUNCTION("""COMPUTED_VALUE"""),5.0)</f>
        <v>5</v>
      </c>
      <c r="F19" s="155">
        <f>IFERROR(__xludf.DUMMYFUNCTION("""COMPUTED_VALUE"""),1.0)</f>
        <v>1</v>
      </c>
      <c r="G19" s="155"/>
      <c r="H19" s="156">
        <f>IFERROR(__xludf.DUMMYFUNCTION("""COMPUTED_VALUE"""),6.0)</f>
        <v>6</v>
      </c>
      <c r="I19" s="157">
        <f>IFERROR(__xludf.DUMMYFUNCTION("""COMPUTED_VALUE"""),0.0)</f>
        <v>0</v>
      </c>
      <c r="J19" s="158">
        <f>IFERROR(__xludf.DUMMYFUNCTION("""COMPUTED_VALUE"""),6.0)</f>
        <v>6</v>
      </c>
      <c r="K19" s="157"/>
      <c r="L19" s="160">
        <f>IFERROR(__xludf.DUMMYFUNCTION("""COMPUTED_VALUE"""),6.0)</f>
        <v>6</v>
      </c>
      <c r="M19" s="121" t="str">
        <f>IFERROR(__xludf.DUMMYFUNCTION("""COMPUTED_VALUE"""),"Marzo")</f>
        <v>Marzo</v>
      </c>
      <c r="N19" s="121">
        <f>IFERROR(__xludf.DUMMYFUNCTION("""COMPUTED_VALUE"""),14.0)</f>
        <v>14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>
        <f>IFERROR(__xludf.DUMMYFUNCTION("""COMPUTED_VALUE"""),7.0)</f>
        <v>7</v>
      </c>
      <c r="F20" s="155">
        <f>IFERROR(__xludf.DUMMYFUNCTION("""COMPUTED_VALUE"""),2.0)</f>
        <v>2</v>
      </c>
      <c r="G20" s="155">
        <f>IFERROR(__xludf.DUMMYFUNCTION("""COMPUTED_VALUE"""),1.0)</f>
        <v>1</v>
      </c>
      <c r="H20" s="156">
        <f>IFERROR(__xludf.DUMMYFUNCTION("""COMPUTED_VALUE"""),10.0)</f>
        <v>10</v>
      </c>
      <c r="I20" s="157">
        <f>IFERROR(__xludf.DUMMYFUNCTION("""COMPUTED_VALUE"""),0.0)</f>
        <v>0</v>
      </c>
      <c r="J20" s="158">
        <f>IFERROR(__xludf.DUMMYFUNCTION("""COMPUTED_VALUE"""),10.0)</f>
        <v>10</v>
      </c>
      <c r="K20" s="157"/>
      <c r="L20" s="160">
        <f>IFERROR(__xludf.DUMMYFUNCTION("""COMPUTED_VALUE"""),10.0)</f>
        <v>10</v>
      </c>
      <c r="M20" s="121" t="str">
        <f>IFERROR(__xludf.DUMMYFUNCTION("""COMPUTED_VALUE"""),"Abril")</f>
        <v>Abril</v>
      </c>
      <c r="N20" s="121">
        <f>IFERROR(__xludf.DUMMYFUNCTION("""COMPUTED_VALUE"""),10.0)</f>
        <v>10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>
        <f>IFERROR(__xludf.DUMMYFUNCTION("""COMPUTED_VALUE"""),8.0)</f>
        <v>8</v>
      </c>
      <c r="F21" s="155">
        <f>IFERROR(__xludf.DUMMYFUNCTION("""COMPUTED_VALUE"""),2.0)</f>
        <v>2</v>
      </c>
      <c r="G21" s="155"/>
      <c r="H21" s="156">
        <f>IFERROR(__xludf.DUMMYFUNCTION("""COMPUTED_VALUE"""),10.0)</f>
        <v>10</v>
      </c>
      <c r="I21" s="157">
        <f>IFERROR(__xludf.DUMMYFUNCTION("""COMPUTED_VALUE"""),2.0)</f>
        <v>2</v>
      </c>
      <c r="J21" s="158">
        <f>IFERROR(__xludf.DUMMYFUNCTION("""COMPUTED_VALUE"""),10.0)</f>
        <v>10</v>
      </c>
      <c r="K21" s="157"/>
      <c r="L21" s="160">
        <f>IFERROR(__xludf.DUMMYFUNCTION("""COMPUTED_VALUE"""),10.0)</f>
        <v>10</v>
      </c>
      <c r="M21" s="121" t="str">
        <f>IFERROR(__xludf.DUMMYFUNCTION("""COMPUTED_VALUE"""),"Mayo")</f>
        <v>Mayo</v>
      </c>
      <c r="N21" s="121">
        <f>IFERROR(__xludf.DUMMYFUNCTION("""COMPUTED_VALUE"""),12.0)</f>
        <v>12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>
        <f>IFERROR(__xludf.DUMMYFUNCTION("""COMPUTED_VALUE"""),8.0)</f>
        <v>8</v>
      </c>
      <c r="F22" s="155">
        <f>IFERROR(__xludf.DUMMYFUNCTION("""COMPUTED_VALUE"""),2.0)</f>
        <v>2</v>
      </c>
      <c r="G22" s="155"/>
      <c r="H22" s="156">
        <f>IFERROR(__xludf.DUMMYFUNCTION("""COMPUTED_VALUE"""),10.0)</f>
        <v>10</v>
      </c>
      <c r="I22" s="157">
        <f>IFERROR(__xludf.DUMMYFUNCTION("""COMPUTED_VALUE"""),1.0)</f>
        <v>1</v>
      </c>
      <c r="J22" s="158">
        <f>IFERROR(__xludf.DUMMYFUNCTION("""COMPUTED_VALUE"""),10.0)</f>
        <v>10</v>
      </c>
      <c r="K22" s="157"/>
      <c r="L22" s="160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IFERROR(__xludf.DUMMYFUNCTION("""COMPUTED_VALUE"""),18.0)</f>
        <v>18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>
        <f>IFERROR(__xludf.DUMMYFUNCTION("""COMPUTED_VALUE"""),5.0)</f>
        <v>5</v>
      </c>
      <c r="F23" s="155">
        <f>IFERROR(__xludf.DUMMYFUNCTION("""COMPUTED_VALUE"""),1.0)</f>
        <v>1</v>
      </c>
      <c r="G23" s="155"/>
      <c r="H23" s="156">
        <f>IFERROR(__xludf.DUMMYFUNCTION("""COMPUTED_VALUE"""),6.0)</f>
        <v>6</v>
      </c>
      <c r="I23" s="157">
        <f>IFERROR(__xludf.DUMMYFUNCTION("""COMPUTED_VALUE"""),1.0)</f>
        <v>1</v>
      </c>
      <c r="J23" s="158">
        <f>IFERROR(__xludf.DUMMYFUNCTION("""COMPUTED_VALUE"""),6.0)</f>
        <v>6</v>
      </c>
      <c r="K23" s="157"/>
      <c r="L23" s="160">
        <f>IFERROR(__xludf.DUMMYFUNCTION("""COMPUTED_VALUE"""),6.0)</f>
        <v>6</v>
      </c>
      <c r="M23" s="121" t="str">
        <f>IFERROR(__xludf.DUMMYFUNCTION("""COMPUTED_VALUE"""),"Julio")</f>
        <v>Julio</v>
      </c>
      <c r="N23" s="121">
        <f>IFERROR(__xludf.DUMMYFUNCTION("""COMPUTED_VALUE"""),8.0)</f>
        <v>8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>
        <f>IFERROR(__xludf.DUMMYFUNCTION("""COMPUTED_VALUE"""),4.0)</f>
        <v>4</v>
      </c>
      <c r="F24" s="155">
        <f>IFERROR(__xludf.DUMMYFUNCTION("""COMPUTED_VALUE"""),2.0)</f>
        <v>2</v>
      </c>
      <c r="G24" s="155"/>
      <c r="H24" s="156">
        <f>IFERROR(__xludf.DUMMYFUNCTION("""COMPUTED_VALUE"""),6.0)</f>
        <v>6</v>
      </c>
      <c r="I24" s="157">
        <f>IFERROR(__xludf.DUMMYFUNCTION("""COMPUTED_VALUE"""),0.0)</f>
        <v>0</v>
      </c>
      <c r="J24" s="158">
        <f>IFERROR(__xludf.DUMMYFUNCTION("""COMPUTED_VALUE"""),6.0)</f>
        <v>6</v>
      </c>
      <c r="K24" s="157"/>
      <c r="L24" s="160">
        <f>IFERROR(__xludf.DUMMYFUNCTION("""COMPUTED_VALUE"""),6.0)</f>
        <v>6</v>
      </c>
      <c r="M24" s="121" t="str">
        <f>IFERROR(__xludf.DUMMYFUNCTION("""COMPUTED_VALUE"""),"TOTAL")</f>
        <v>TOTAL</v>
      </c>
      <c r="N24" s="121">
        <f>IFERROR(__xludf.DUMMYFUNCTION("""COMPUTED_VALUE"""),70.0)</f>
        <v>70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>
        <f>IFERROR(__xludf.DUMMYFUNCTION("""COMPUTED_VALUE"""),8.0)</f>
        <v>8</v>
      </c>
      <c r="F25" s="155">
        <f>IFERROR(__xludf.DUMMYFUNCTION("""COMPUTED_VALUE"""),2.0)</f>
        <v>2</v>
      </c>
      <c r="G25" s="155">
        <f>IFERROR(__xludf.DUMMYFUNCTION("""COMPUTED_VALUE"""),0.0)</f>
        <v>0</v>
      </c>
      <c r="H25" s="156">
        <f>IFERROR(__xludf.DUMMYFUNCTION("""COMPUTED_VALUE"""),10.0)</f>
        <v>10</v>
      </c>
      <c r="I25" s="157">
        <f>IFERROR(__xludf.DUMMYFUNCTION("""COMPUTED_VALUE"""),1.0)</f>
        <v>1</v>
      </c>
      <c r="J25" s="158">
        <f>IFERROR(__xludf.DUMMYFUNCTION("""COMPUTED_VALUE"""),10.0)</f>
        <v>10</v>
      </c>
      <c r="K25" s="157"/>
      <c r="L25" s="160">
        <f>IFERROR(__xludf.DUMMYFUNCTION("""COMPUTED_VALUE"""),10.0)</f>
        <v>10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>
        <f>IFERROR(__xludf.DUMMYFUNCTION("""COMPUTED_VALUE"""),4.0)</f>
        <v>4</v>
      </c>
      <c r="F26" s="155">
        <f>IFERROR(__xludf.DUMMYFUNCTION("""COMPUTED_VALUE"""),2.0)</f>
        <v>2</v>
      </c>
      <c r="G26" s="155"/>
      <c r="H26" s="156">
        <f>IFERROR(__xludf.DUMMYFUNCTION("""COMPUTED_VALUE"""),6.0)</f>
        <v>6</v>
      </c>
      <c r="I26" s="157">
        <f>IFERROR(__xludf.DUMMYFUNCTION("""COMPUTED_VALUE"""),2.0)</f>
        <v>2</v>
      </c>
      <c r="J26" s="158">
        <f>IFERROR(__xludf.DUMMYFUNCTION("""COMPUTED_VALUE"""),6.0)</f>
        <v>6</v>
      </c>
      <c r="K26" s="157"/>
      <c r="L26" s="160">
        <f>IFERROR(__xludf.DUMMYFUNCTION("""COMPUTED_VALUE"""),6.0)</f>
        <v>6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>
        <f>IFERROR(__xludf.DUMMYFUNCTION("""COMPUTED_VALUE"""),4.0)</f>
        <v>4</v>
      </c>
      <c r="F27" s="155">
        <f>IFERROR(__xludf.DUMMYFUNCTION("""COMPUTED_VALUE"""),2.0)</f>
        <v>2</v>
      </c>
      <c r="G27" s="155"/>
      <c r="H27" s="156">
        <f>IFERROR(__xludf.DUMMYFUNCTION("""COMPUTED_VALUE"""),6.0)</f>
        <v>6</v>
      </c>
      <c r="I27" s="157">
        <f>IFERROR(__xludf.DUMMYFUNCTION("""COMPUTED_VALUE"""),0.0)</f>
        <v>0</v>
      </c>
      <c r="J27" s="158">
        <f>IFERROR(__xludf.DUMMYFUNCTION("""COMPUTED_VALUE"""),6.0)</f>
        <v>6</v>
      </c>
      <c r="K27" s="157"/>
      <c r="L27" s="160">
        <f>IFERROR(__xludf.DUMMYFUNCTION("""COMPUTED_VALUE"""),6.0)</f>
        <v>6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>
        <f>IFERROR(__xludf.DUMMYFUNCTION("""COMPUTED_VALUE"""),6.2)</f>
        <v>6.2</v>
      </c>
      <c r="F28" s="155">
        <f>IFERROR(__xludf.DUMMYFUNCTION("""COMPUTED_VALUE"""),1.8)</f>
        <v>1.8</v>
      </c>
      <c r="G28" s="155"/>
      <c r="H28" s="156">
        <f>IFERROR(__xludf.DUMMYFUNCTION("""COMPUTED_VALUE"""),8.0)</f>
        <v>8</v>
      </c>
      <c r="I28" s="157">
        <f>IFERROR(__xludf.DUMMYFUNCTION("""COMPUTED_VALUE"""),1.0)</f>
        <v>1</v>
      </c>
      <c r="J28" s="158">
        <f>IFERROR(__xludf.DUMMYFUNCTION("""COMPUTED_VALUE"""),8.0)</f>
        <v>8</v>
      </c>
      <c r="K28" s="157"/>
      <c r="L28" s="160">
        <f>IFERROR(__xludf.DUMMYFUNCTION("""COMPUTED_VALUE"""),8.0)</f>
        <v>8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>
        <f>IFERROR(__xludf.DUMMYFUNCTION("""COMPUTED_VALUE"""),4.0)</f>
        <v>4</v>
      </c>
      <c r="F29" s="155">
        <f>IFERROR(__xludf.DUMMYFUNCTION("""COMPUTED_VALUE"""),2.0)</f>
        <v>2</v>
      </c>
      <c r="G29" s="155"/>
      <c r="H29" s="156">
        <f>IFERROR(__xludf.DUMMYFUNCTION("""COMPUTED_VALUE"""),6.0)</f>
        <v>6</v>
      </c>
      <c r="I29" s="157">
        <f>IFERROR(__xludf.DUMMYFUNCTION("""COMPUTED_VALUE"""),1.0)</f>
        <v>1</v>
      </c>
      <c r="J29" s="158">
        <f>IFERROR(__xludf.DUMMYFUNCTION("""COMPUTED_VALUE"""),6.0)</f>
        <v>6</v>
      </c>
      <c r="K29" s="157"/>
      <c r="L29" s="160">
        <f>IFERROR(__xludf.DUMMYFUNCTION("""COMPUTED_VALUE"""),6.0)</f>
        <v>6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>
        <f>IFERROR(__xludf.DUMMYFUNCTION("""COMPUTED_VALUE"""),5.0)</f>
        <v>5</v>
      </c>
      <c r="F30" s="155">
        <f>IFERROR(__xludf.DUMMYFUNCTION("""COMPUTED_VALUE"""),1.0)</f>
        <v>1</v>
      </c>
      <c r="G30" s="155"/>
      <c r="H30" s="156">
        <f>IFERROR(__xludf.DUMMYFUNCTION("""COMPUTED_VALUE"""),6.0)</f>
        <v>6</v>
      </c>
      <c r="I30" s="157">
        <f>IFERROR(__xludf.DUMMYFUNCTION("""COMPUTED_VALUE"""),6.0)</f>
        <v>6</v>
      </c>
      <c r="J30" s="158">
        <f>IFERROR(__xludf.DUMMYFUNCTION("""COMPUTED_VALUE"""),6.0)</f>
        <v>6</v>
      </c>
      <c r="K30" s="157"/>
      <c r="L30" s="160">
        <f>IFERROR(__xludf.DUMMYFUNCTION("""COMPUTED_VALUE"""),6.0)</f>
        <v>6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>
        <f>IFERROR(__xludf.DUMMYFUNCTION("""COMPUTED_VALUE"""),7.0)</f>
        <v>7</v>
      </c>
      <c r="F31" s="155">
        <f>IFERROR(__xludf.DUMMYFUNCTION("""COMPUTED_VALUE"""),2.0)</f>
        <v>2</v>
      </c>
      <c r="G31" s="155">
        <f>IFERROR(__xludf.DUMMYFUNCTION("""COMPUTED_VALUE"""),1.0)</f>
        <v>1</v>
      </c>
      <c r="H31" s="156">
        <f>IFERROR(__xludf.DUMMYFUNCTION("""COMPUTED_VALUE"""),10.0)</f>
        <v>10</v>
      </c>
      <c r="I31" s="157">
        <f>IFERROR(__xludf.DUMMYFUNCTION("""COMPUTED_VALUE"""),0.0)</f>
        <v>0</v>
      </c>
      <c r="J31" s="158">
        <f>IFERROR(__xludf.DUMMYFUNCTION("""COMPUTED_VALUE"""),10.0)</f>
        <v>10</v>
      </c>
      <c r="K31" s="157"/>
      <c r="L31" s="160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>
        <f>IFERROR(__xludf.DUMMYFUNCTION("""COMPUTED_VALUE"""),5.0)</f>
        <v>5</v>
      </c>
      <c r="F32" s="155">
        <f>IFERROR(__xludf.DUMMYFUNCTION("""COMPUTED_VALUE"""),1.0)</f>
        <v>1</v>
      </c>
      <c r="G32" s="155"/>
      <c r="H32" s="156">
        <f>IFERROR(__xludf.DUMMYFUNCTION("""COMPUTED_VALUE"""),6.0)</f>
        <v>6</v>
      </c>
      <c r="I32" s="157">
        <f>IFERROR(__xludf.DUMMYFUNCTION("""COMPUTED_VALUE"""),1.0)</f>
        <v>1</v>
      </c>
      <c r="J32" s="158">
        <f>IFERROR(__xludf.DUMMYFUNCTION("""COMPUTED_VALUE"""),6.0)</f>
        <v>6</v>
      </c>
      <c r="K32" s="157"/>
      <c r="L32" s="160">
        <f>IFERROR(__xludf.DUMMYFUNCTION("""COMPUTED_VALUE"""),6.0)</f>
        <v>6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>
        <f>IFERROR(__xludf.DUMMYFUNCTION("""COMPUTED_VALUE"""),7.0)</f>
        <v>7</v>
      </c>
      <c r="F33" s="155">
        <f>IFERROR(__xludf.DUMMYFUNCTION("""COMPUTED_VALUE"""),2.0)</f>
        <v>2</v>
      </c>
      <c r="G33" s="155">
        <f>IFERROR(__xludf.DUMMYFUNCTION("""COMPUTED_VALUE"""),1.0)</f>
        <v>1</v>
      </c>
      <c r="H33" s="156">
        <f>IFERROR(__xludf.DUMMYFUNCTION("""COMPUTED_VALUE"""),10.0)</f>
        <v>10</v>
      </c>
      <c r="I33" s="157">
        <f>IFERROR(__xludf.DUMMYFUNCTION("""COMPUTED_VALUE"""),0.0)</f>
        <v>0</v>
      </c>
      <c r="J33" s="158">
        <f>IFERROR(__xludf.DUMMYFUNCTION("""COMPUTED_VALUE"""),10.0)</f>
        <v>10</v>
      </c>
      <c r="K33" s="157"/>
      <c r="L33" s="160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>
        <f>IFERROR(__xludf.DUMMYFUNCTION("""COMPUTED_VALUE"""),6.0)</f>
        <v>6</v>
      </c>
      <c r="F34" s="155">
        <f>IFERROR(__xludf.DUMMYFUNCTION("""COMPUTED_VALUE"""),1.0)</f>
        <v>1</v>
      </c>
      <c r="G34" s="155"/>
      <c r="H34" s="156">
        <f>IFERROR(__xludf.DUMMYFUNCTION("""COMPUTED_VALUE"""),7.0)</f>
        <v>7</v>
      </c>
      <c r="I34" s="157">
        <f>IFERROR(__xludf.DUMMYFUNCTION("""COMPUTED_VALUE"""),1.0)</f>
        <v>1</v>
      </c>
      <c r="J34" s="158">
        <f>IFERROR(__xludf.DUMMYFUNCTION("""COMPUTED_VALUE"""),7.0)</f>
        <v>7</v>
      </c>
      <c r="K34" s="157"/>
      <c r="L34" s="160">
        <f>IFERROR(__xludf.DUMMYFUNCTION("""COMPUTED_VALUE"""),7.0)</f>
        <v>7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>
        <f>IFERROR(__xludf.DUMMYFUNCTION("""COMPUTED_VALUE"""),4.0)</f>
        <v>4</v>
      </c>
      <c r="F35" s="155">
        <f>IFERROR(__xludf.DUMMYFUNCTION("""COMPUTED_VALUE"""),1.0)</f>
        <v>1</v>
      </c>
      <c r="G35" s="155">
        <f>IFERROR(__xludf.DUMMYFUNCTION("""COMPUTED_VALUE"""),1.0)</f>
        <v>1</v>
      </c>
      <c r="H35" s="156">
        <f>IFERROR(__xludf.DUMMYFUNCTION("""COMPUTED_VALUE"""),6.0)</f>
        <v>6</v>
      </c>
      <c r="I35" s="157">
        <f>IFERROR(__xludf.DUMMYFUNCTION("""COMPUTED_VALUE"""),3.0)</f>
        <v>3</v>
      </c>
      <c r="J35" s="158">
        <f>IFERROR(__xludf.DUMMYFUNCTION("""COMPUTED_VALUE"""),6.0)</f>
        <v>6</v>
      </c>
      <c r="K35" s="157"/>
      <c r="L35" s="160">
        <f>IFERROR(__xludf.DUMMYFUNCTION("""COMPUTED_VALUE"""),6.0)</f>
        <v>6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>
        <f>IFERROR(__xludf.DUMMYFUNCTION("""COMPUTED_VALUE"""),4.0)</f>
        <v>4</v>
      </c>
      <c r="F36" s="155">
        <f>IFERROR(__xludf.DUMMYFUNCTION("""COMPUTED_VALUE"""),2.0)</f>
        <v>2</v>
      </c>
      <c r="G36" s="155">
        <f>IFERROR(__xludf.DUMMYFUNCTION("""COMPUTED_VALUE"""),1.0)</f>
        <v>1</v>
      </c>
      <c r="H36" s="156">
        <f>IFERROR(__xludf.DUMMYFUNCTION("""COMPUTED_VALUE"""),7.0)</f>
        <v>7</v>
      </c>
      <c r="I36" s="157">
        <f>IFERROR(__xludf.DUMMYFUNCTION("""COMPUTED_VALUE"""),0.0)</f>
        <v>0</v>
      </c>
      <c r="J36" s="158">
        <f>IFERROR(__xludf.DUMMYFUNCTION("""COMPUTED_VALUE"""),7.0)</f>
        <v>7</v>
      </c>
      <c r="K36" s="157"/>
      <c r="L36" s="160">
        <f>IFERROR(__xludf.DUMMYFUNCTION("""COMPUTED_VALUE"""),7.0)</f>
        <v>7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>
        <f>IFERROR(__xludf.DUMMYFUNCTION("""COMPUTED_VALUE"""),4.2)</f>
        <v>4.2</v>
      </c>
      <c r="F37" s="155">
        <f>IFERROR(__xludf.DUMMYFUNCTION("""COMPUTED_VALUE"""),1.8)</f>
        <v>1.8</v>
      </c>
      <c r="G37" s="155">
        <f>IFERROR(__xludf.DUMMYFUNCTION("""COMPUTED_VALUE"""),1.0)</f>
        <v>1</v>
      </c>
      <c r="H37" s="156">
        <f>IFERROR(__xludf.DUMMYFUNCTION("""COMPUTED_VALUE"""),7.0)</f>
        <v>7</v>
      </c>
      <c r="I37" s="157">
        <f>IFERROR(__xludf.DUMMYFUNCTION("""COMPUTED_VALUE"""),1.0)</f>
        <v>1</v>
      </c>
      <c r="J37" s="158">
        <f>IFERROR(__xludf.DUMMYFUNCTION("""COMPUTED_VALUE"""),7.0)</f>
        <v>7</v>
      </c>
      <c r="K37" s="157"/>
      <c r="L37" s="160">
        <f>IFERROR(__xludf.DUMMYFUNCTION("""COMPUTED_VALUE"""),7.0)</f>
        <v>7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>
        <f>IFERROR(__xludf.DUMMYFUNCTION("""COMPUTED_VALUE"""),8.0)</f>
        <v>8</v>
      </c>
      <c r="F38" s="155">
        <f>IFERROR(__xludf.DUMMYFUNCTION("""COMPUTED_VALUE"""),2.0)</f>
        <v>2</v>
      </c>
      <c r="G38" s="155"/>
      <c r="H38" s="156">
        <f>IFERROR(__xludf.DUMMYFUNCTION("""COMPUTED_VALUE"""),10.0)</f>
        <v>10</v>
      </c>
      <c r="I38" s="157">
        <f>IFERROR(__xludf.DUMMYFUNCTION("""COMPUTED_VALUE"""),0.0)</f>
        <v>0</v>
      </c>
      <c r="J38" s="158">
        <f>IFERROR(__xludf.DUMMYFUNCTION("""COMPUTED_VALUE"""),10.0)</f>
        <v>10</v>
      </c>
      <c r="K38" s="157"/>
      <c r="L38" s="160">
        <f>IFERROR(__xludf.DUMMYFUNCTION("""COMPUTED_VALUE"""),10.0)</f>
        <v>10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>
        <f>IFERROR(__xludf.DUMMYFUNCTION("""COMPUTED_VALUE"""),5.0)</f>
        <v>5</v>
      </c>
      <c r="F39" s="155">
        <f>IFERROR(__xludf.DUMMYFUNCTION("""COMPUTED_VALUE"""),2.0)</f>
        <v>2</v>
      </c>
      <c r="G39" s="155"/>
      <c r="H39" s="156">
        <f>IFERROR(__xludf.DUMMYFUNCTION("""COMPUTED_VALUE"""),7.0)</f>
        <v>7</v>
      </c>
      <c r="I39" s="157">
        <f>IFERROR(__xludf.DUMMYFUNCTION("""COMPUTED_VALUE"""),0.0)</f>
        <v>0</v>
      </c>
      <c r="J39" s="158">
        <f>IFERROR(__xludf.DUMMYFUNCTION("""COMPUTED_VALUE"""),7.0)</f>
        <v>7</v>
      </c>
      <c r="K39" s="157"/>
      <c r="L39" s="160">
        <f>IFERROR(__xludf.DUMMYFUNCTION("""COMPUTED_VALUE"""),7.0)</f>
        <v>7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>
        <f>IFERROR(__xludf.DUMMYFUNCTION("""COMPUTED_VALUE"""),4.0)</f>
        <v>4</v>
      </c>
      <c r="F40" s="155">
        <f>IFERROR(__xludf.DUMMYFUNCTION("""COMPUTED_VALUE"""),2.0)</f>
        <v>2</v>
      </c>
      <c r="G40" s="155"/>
      <c r="H40" s="156">
        <f>IFERROR(__xludf.DUMMYFUNCTION("""COMPUTED_VALUE"""),6.0)</f>
        <v>6</v>
      </c>
      <c r="I40" s="157">
        <f>IFERROR(__xludf.DUMMYFUNCTION("""COMPUTED_VALUE"""),3.0)</f>
        <v>3</v>
      </c>
      <c r="J40" s="158">
        <f>IFERROR(__xludf.DUMMYFUNCTION("""COMPUTED_VALUE"""),6.0)</f>
        <v>6</v>
      </c>
      <c r="K40" s="157"/>
      <c r="L40" s="160">
        <f>IFERROR(__xludf.DUMMYFUNCTION("""COMPUTED_VALUE"""),6.0)</f>
        <v>6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>
        <f>IFERROR(__xludf.DUMMYFUNCTION("""COMPUTED_VALUE"""),4.0)</f>
        <v>4</v>
      </c>
      <c r="F41" s="155">
        <f>IFERROR(__xludf.DUMMYFUNCTION("""COMPUTED_VALUE"""),2.0)</f>
        <v>2</v>
      </c>
      <c r="G41" s="155"/>
      <c r="H41" s="156">
        <f>IFERROR(__xludf.DUMMYFUNCTION("""COMPUTED_VALUE"""),6.0)</f>
        <v>6</v>
      </c>
      <c r="I41" s="157">
        <f>IFERROR(__xludf.DUMMYFUNCTION("""COMPUTED_VALUE"""),0.0)</f>
        <v>0</v>
      </c>
      <c r="J41" s="158">
        <f>IFERROR(__xludf.DUMMYFUNCTION("""COMPUTED_VALUE"""),6.0)</f>
        <v>6</v>
      </c>
      <c r="K41" s="157"/>
      <c r="L41" s="160">
        <f>IFERROR(__xludf.DUMMYFUNCTION("""COMPUTED_VALUE"""),6.0)</f>
        <v>6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>
        <f>IFERROR(__xludf.DUMMYFUNCTION("""COMPUTED_VALUE"""),6.0)</f>
        <v>6</v>
      </c>
      <c r="F42" s="155">
        <f>IFERROR(__xludf.DUMMYFUNCTION("""COMPUTED_VALUE"""),2.0)</f>
        <v>2</v>
      </c>
      <c r="G42" s="155"/>
      <c r="H42" s="156">
        <f>IFERROR(__xludf.DUMMYFUNCTION("""COMPUTED_VALUE"""),8.0)</f>
        <v>8</v>
      </c>
      <c r="I42" s="157">
        <f>IFERROR(__xludf.DUMMYFUNCTION("""COMPUTED_VALUE"""),0.0)</f>
        <v>0</v>
      </c>
      <c r="J42" s="158">
        <f>IFERROR(__xludf.DUMMYFUNCTION("""COMPUTED_VALUE"""),8.0)</f>
        <v>8</v>
      </c>
      <c r="K42" s="157"/>
      <c r="L42" s="160">
        <f>IFERROR(__xludf.DUMMYFUNCTION("""COMPUTED_VALUE"""),8.0)</f>
        <v>8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>
        <f>IFERROR(__xludf.DUMMYFUNCTION("""COMPUTED_VALUE"""),7.0)</f>
        <v>7</v>
      </c>
      <c r="F43" s="155">
        <f>IFERROR(__xludf.DUMMYFUNCTION("""COMPUTED_VALUE"""),2.0)</f>
        <v>2</v>
      </c>
      <c r="G43" s="155">
        <f>IFERROR(__xludf.DUMMYFUNCTION("""COMPUTED_VALUE"""),1.0)</f>
        <v>1</v>
      </c>
      <c r="H43" s="156">
        <f>IFERROR(__xludf.DUMMYFUNCTION("""COMPUTED_VALUE"""),10.0)</f>
        <v>10</v>
      </c>
      <c r="I43" s="157">
        <f>IFERROR(__xludf.DUMMYFUNCTION("""COMPUTED_VALUE"""),3.0)</f>
        <v>3</v>
      </c>
      <c r="J43" s="158">
        <f>IFERROR(__xludf.DUMMYFUNCTION("""COMPUTED_VALUE"""),10.0)</f>
        <v>10</v>
      </c>
      <c r="K43" s="157"/>
      <c r="L43" s="160">
        <f>IFERROR(__xludf.DUMMYFUNCTION("""COMPUTED_VALUE"""),10.0)</f>
        <v>10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155">
        <f>IFERROR(__xludf.DUMMYFUNCTION("""COMPUTED_VALUE"""),4.0)</f>
        <v>4</v>
      </c>
      <c r="F44" s="155">
        <f>IFERROR(__xludf.DUMMYFUNCTION("""COMPUTED_VALUE"""),2.0)</f>
        <v>2</v>
      </c>
      <c r="G44" s="155"/>
      <c r="H44" s="156">
        <f>IFERROR(__xludf.DUMMYFUNCTION("""COMPUTED_VALUE"""),6.0)</f>
        <v>6</v>
      </c>
      <c r="I44" s="157">
        <f>IFERROR(__xludf.DUMMYFUNCTION("""COMPUTED_VALUE"""),1.0)</f>
        <v>1</v>
      </c>
      <c r="J44" s="158">
        <f>IFERROR(__xludf.DUMMYFUNCTION("""COMPUTED_VALUE"""),6.0)</f>
        <v>6</v>
      </c>
      <c r="K44" s="157"/>
      <c r="L44" s="160">
        <f>IFERROR(__xludf.DUMMYFUNCTION("""COMPUTED_VALUE"""),6.0)</f>
        <v>6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155">
        <f>IFERROR(__xludf.DUMMYFUNCTION("""COMPUTED_VALUE"""),4.0)</f>
        <v>4</v>
      </c>
      <c r="F45" s="155">
        <f>IFERROR(__xludf.DUMMYFUNCTION("""COMPUTED_VALUE"""),2.0)</f>
        <v>2</v>
      </c>
      <c r="G45" s="155"/>
      <c r="H45" s="156">
        <f>IFERROR(__xludf.DUMMYFUNCTION("""COMPUTED_VALUE"""),6.0)</f>
        <v>6</v>
      </c>
      <c r="I45" s="157">
        <f>IFERROR(__xludf.DUMMYFUNCTION("""COMPUTED_VALUE"""),0.0)</f>
        <v>0</v>
      </c>
      <c r="J45" s="158">
        <f>IFERROR(__xludf.DUMMYFUNCTION("""COMPUTED_VALUE"""),6.0)</f>
        <v>6</v>
      </c>
      <c r="K45" s="157"/>
      <c r="L45" s="160">
        <f>IFERROR(__xludf.DUMMYFUNCTION("""COMPUTED_VALUE"""),6.0)</f>
        <v>6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155">
        <f>IFERROR(__xludf.DUMMYFUNCTION("""COMPUTED_VALUE"""),5.0)</f>
        <v>5</v>
      </c>
      <c r="F46" s="155">
        <f>IFERROR(__xludf.DUMMYFUNCTION("""COMPUTED_VALUE"""),1.0)</f>
        <v>1</v>
      </c>
      <c r="G46" s="155"/>
      <c r="H46" s="156">
        <f>IFERROR(__xludf.DUMMYFUNCTION("""COMPUTED_VALUE"""),6.0)</f>
        <v>6</v>
      </c>
      <c r="I46" s="157">
        <f>IFERROR(__xludf.DUMMYFUNCTION("""COMPUTED_VALUE"""),0.0)</f>
        <v>0</v>
      </c>
      <c r="J46" s="158">
        <f>IFERROR(__xludf.DUMMYFUNCTION("""COMPUTED_VALUE"""),6.0)</f>
        <v>6</v>
      </c>
      <c r="K46" s="157"/>
      <c r="L46" s="160">
        <f>IFERROR(__xludf.DUMMYFUNCTION("""COMPUTED_VALUE"""),6.0)</f>
        <v>6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155">
        <f>IFERROR(__xludf.DUMMYFUNCTION("""COMPUTED_VALUE"""),7.0)</f>
        <v>7</v>
      </c>
      <c r="F47" s="155">
        <f>IFERROR(__xludf.DUMMYFUNCTION("""COMPUTED_VALUE"""),2.0)</f>
        <v>2</v>
      </c>
      <c r="G47" s="155">
        <f>IFERROR(__xludf.DUMMYFUNCTION("""COMPUTED_VALUE"""),1.0)</f>
        <v>1</v>
      </c>
      <c r="H47" s="156">
        <f>IFERROR(__xludf.DUMMYFUNCTION("""COMPUTED_VALUE"""),10.0)</f>
        <v>10</v>
      </c>
      <c r="I47" s="157">
        <f>IFERROR(__xludf.DUMMYFUNCTION("""COMPUTED_VALUE"""),0.0)</f>
        <v>0</v>
      </c>
      <c r="J47" s="158">
        <f>IFERROR(__xludf.DUMMYFUNCTION("""COMPUTED_VALUE"""),10.0)</f>
        <v>10</v>
      </c>
      <c r="K47" s="157"/>
      <c r="L47" s="160">
        <f>IFERROR(__xludf.DUMMYFUNCTION("""COMPUTED_VALUE"""),10.0)</f>
        <v>10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155">
        <f>IFERROR(__xludf.DUMMYFUNCTION("""COMPUTED_VALUE"""),6.0)</f>
        <v>6</v>
      </c>
      <c r="F48" s="155">
        <f>IFERROR(__xludf.DUMMYFUNCTION("""COMPUTED_VALUE"""),1.8)</f>
        <v>1.8</v>
      </c>
      <c r="G48" s="155">
        <f>IFERROR(__xludf.DUMMYFUNCTION("""COMPUTED_VALUE"""),1.0)</f>
        <v>1</v>
      </c>
      <c r="H48" s="156">
        <f>IFERROR(__xludf.DUMMYFUNCTION("""COMPUTED_VALUE"""),8.8)</f>
        <v>8.8</v>
      </c>
      <c r="I48" s="157">
        <f>IFERROR(__xludf.DUMMYFUNCTION("""COMPUTED_VALUE"""),0.0)</f>
        <v>0</v>
      </c>
      <c r="J48" s="158">
        <f>IFERROR(__xludf.DUMMYFUNCTION("""COMPUTED_VALUE"""),9.0)</f>
        <v>9</v>
      </c>
      <c r="K48" s="157"/>
      <c r="L48" s="160">
        <f>IFERROR(__xludf.DUMMYFUNCTION("""COMPUTED_VALUE"""),9.0)</f>
        <v>9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155">
        <f>IFERROR(__xludf.DUMMYFUNCTION("""COMPUTED_VALUE"""),8.0)</f>
        <v>8</v>
      </c>
      <c r="F49" s="155">
        <f>IFERROR(__xludf.DUMMYFUNCTION("""COMPUTED_VALUE"""),2.0)</f>
        <v>2</v>
      </c>
      <c r="G49" s="155"/>
      <c r="H49" s="156">
        <f>IFERROR(__xludf.DUMMYFUNCTION("""COMPUTED_VALUE"""),10.0)</f>
        <v>10</v>
      </c>
      <c r="I49" s="157">
        <f>IFERROR(__xludf.DUMMYFUNCTION("""COMPUTED_VALUE"""),2.0)</f>
        <v>2</v>
      </c>
      <c r="J49" s="158">
        <f>IFERROR(__xludf.DUMMYFUNCTION("""COMPUTED_VALUE"""),10.0)</f>
        <v>10</v>
      </c>
      <c r="K49" s="157"/>
      <c r="L49" s="160">
        <f>IFERROR(__xludf.DUMMYFUNCTION("""COMPUTED_VALUE"""),10.0)</f>
        <v>10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155">
        <f>IFERROR(__xludf.DUMMYFUNCTION("""COMPUTED_VALUE"""),8.0)</f>
        <v>8</v>
      </c>
      <c r="F50" s="155">
        <f>IFERROR(__xludf.DUMMYFUNCTION("""COMPUTED_VALUE"""),2.0)</f>
        <v>2</v>
      </c>
      <c r="G50" s="155"/>
      <c r="H50" s="156">
        <f>IFERROR(__xludf.DUMMYFUNCTION("""COMPUTED_VALUE"""),10.0)</f>
        <v>10</v>
      </c>
      <c r="I50" s="157">
        <f>IFERROR(__xludf.DUMMYFUNCTION("""COMPUTED_VALUE"""),1.0)</f>
        <v>1</v>
      </c>
      <c r="J50" s="158">
        <f>IFERROR(__xludf.DUMMYFUNCTION("""COMPUTED_VALUE"""),10.0)</f>
        <v>10</v>
      </c>
      <c r="K50" s="157"/>
      <c r="L50" s="160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155">
        <f>IFERROR(__xludf.DUMMYFUNCTION("""COMPUTED_VALUE"""),8.0)</f>
        <v>8</v>
      </c>
      <c r="F51" s="155">
        <f>IFERROR(__xludf.DUMMYFUNCTION("""COMPUTED_VALUE"""),2.0)</f>
        <v>2</v>
      </c>
      <c r="G51" s="155"/>
      <c r="H51" s="156">
        <f>IFERROR(__xludf.DUMMYFUNCTION("""COMPUTED_VALUE"""),10.0)</f>
        <v>10</v>
      </c>
      <c r="I51" s="157">
        <f>IFERROR(__xludf.DUMMYFUNCTION("""COMPUTED_VALUE"""),1.0)</f>
        <v>1</v>
      </c>
      <c r="J51" s="158">
        <f>IFERROR(__xludf.DUMMYFUNCTION("""COMPUTED_VALUE"""),10.0)</f>
        <v>10</v>
      </c>
      <c r="K51" s="157"/>
      <c r="L51" s="161">
        <f>IFERROR(__xludf.DUMMYFUNCTION("""COMPUTED_VALUE"""),10.0)</f>
        <v>10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155">
        <f>IFERROR(__xludf.DUMMYFUNCTION("""COMPUTED_VALUE"""),8.0)</f>
        <v>8</v>
      </c>
      <c r="F52" s="155">
        <f>IFERROR(__xludf.DUMMYFUNCTION("""COMPUTED_VALUE"""),2.0)</f>
        <v>2</v>
      </c>
      <c r="G52" s="155"/>
      <c r="H52" s="156">
        <f>IFERROR(__xludf.DUMMYFUNCTION("""COMPUTED_VALUE"""),10.0)</f>
        <v>10</v>
      </c>
      <c r="I52" s="157">
        <f>IFERROR(__xludf.DUMMYFUNCTION("""COMPUTED_VALUE"""),0.0)</f>
        <v>0</v>
      </c>
      <c r="J52" s="158">
        <f>IFERROR(__xludf.DUMMYFUNCTION("""COMPUTED_VALUE"""),10.0)</f>
        <v>10</v>
      </c>
      <c r="K52" s="157"/>
      <c r="L52" s="161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155">
        <f>IFERROR(__xludf.DUMMYFUNCTION("""COMPUTED_VALUE"""),4.0)</f>
        <v>4</v>
      </c>
      <c r="F53" s="155">
        <f>IFERROR(__xludf.DUMMYFUNCTION("""COMPUTED_VALUE"""),2.0)</f>
        <v>2</v>
      </c>
      <c r="G53" s="155"/>
      <c r="H53" s="156">
        <f>IFERROR(__xludf.DUMMYFUNCTION("""COMPUTED_VALUE"""),6.0)</f>
        <v>6</v>
      </c>
      <c r="I53" s="157">
        <f>IFERROR(__xludf.DUMMYFUNCTION("""COMPUTED_VALUE"""),0.0)</f>
        <v>0</v>
      </c>
      <c r="J53" s="158">
        <f>IFERROR(__xludf.DUMMYFUNCTION("""COMPUTED_VALUE"""),6.0)</f>
        <v>6</v>
      </c>
      <c r="K53" s="157"/>
      <c r="L53" s="161">
        <f>IFERROR(__xludf.DUMMYFUNCTION("""COMPUTED_VALUE"""),6.0)</f>
        <v>6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155">
        <f>IFERROR(__xludf.DUMMYFUNCTION("""COMPUTED_VALUE"""),7.0)</f>
        <v>7</v>
      </c>
      <c r="F54" s="155">
        <f>IFERROR(__xludf.DUMMYFUNCTION("""COMPUTED_VALUE"""),2.0)</f>
        <v>2</v>
      </c>
      <c r="G54" s="155"/>
      <c r="H54" s="156">
        <f>IFERROR(__xludf.DUMMYFUNCTION("""COMPUTED_VALUE"""),9.0)</f>
        <v>9</v>
      </c>
      <c r="I54" s="162">
        <f>IFERROR(__xludf.DUMMYFUNCTION("""COMPUTED_VALUE"""),0.0)</f>
        <v>0</v>
      </c>
      <c r="J54" s="158">
        <f>IFERROR(__xludf.DUMMYFUNCTION("""COMPUTED_VALUE"""),9.0)</f>
        <v>9</v>
      </c>
      <c r="K54" s="157"/>
      <c r="L54" s="161">
        <f>IFERROR(__xludf.DUMMYFUNCTION("""COMPUTED_VALUE"""),9.0)</f>
        <v>9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155">
        <f>IFERROR(__xludf.DUMMYFUNCTION("""COMPUTED_VALUE"""),4.0)</f>
        <v>4</v>
      </c>
      <c r="F55" s="155">
        <f>IFERROR(__xludf.DUMMYFUNCTION("""COMPUTED_VALUE"""),2.0)</f>
        <v>2</v>
      </c>
      <c r="G55" s="155"/>
      <c r="H55" s="156">
        <f>IFERROR(__xludf.DUMMYFUNCTION("""COMPUTED_VALUE"""),6.0)</f>
        <v>6</v>
      </c>
      <c r="I55" s="162">
        <f>IFERROR(__xludf.DUMMYFUNCTION("""COMPUTED_VALUE"""),1.0)</f>
        <v>1</v>
      </c>
      <c r="J55" s="158">
        <f>IFERROR(__xludf.DUMMYFUNCTION("""COMPUTED_VALUE"""),6.0)</f>
        <v>6</v>
      </c>
      <c r="K55" s="157"/>
      <c r="L55" s="161">
        <f>IFERROR(__xludf.DUMMYFUNCTION("""COMPUTED_VALUE"""),6.0)</f>
        <v>6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155">
        <f>IFERROR(__xludf.DUMMYFUNCTION("""COMPUTED_VALUE"""),7.0)</f>
        <v>7</v>
      </c>
      <c r="F56" s="155">
        <f>IFERROR(__xludf.DUMMYFUNCTION("""COMPUTED_VALUE"""),2.0)</f>
        <v>2</v>
      </c>
      <c r="G56" s="155">
        <f>IFERROR(__xludf.DUMMYFUNCTION("""COMPUTED_VALUE"""),1.0)</f>
        <v>1</v>
      </c>
      <c r="H56" s="156">
        <f>IFERROR(__xludf.DUMMYFUNCTION("""COMPUTED_VALUE"""),10.0)</f>
        <v>10</v>
      </c>
      <c r="I56" s="162">
        <f>IFERROR(__xludf.DUMMYFUNCTION("""COMPUTED_VALUE"""),0.0)</f>
        <v>0</v>
      </c>
      <c r="J56" s="158">
        <f>IFERROR(__xludf.DUMMYFUNCTION("""COMPUTED_VALUE"""),10.0)</f>
        <v>10</v>
      </c>
      <c r="K56" s="157"/>
      <c r="L56" s="161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155">
        <f>IFERROR(__xludf.DUMMYFUNCTION("""COMPUTED_VALUE"""),8.0)</f>
        <v>8</v>
      </c>
      <c r="F57" s="155">
        <f>IFERROR(__xludf.DUMMYFUNCTION("""COMPUTED_VALUE"""),2.0)</f>
        <v>2</v>
      </c>
      <c r="G57" s="155"/>
      <c r="H57" s="156">
        <f>IFERROR(__xludf.DUMMYFUNCTION("""COMPUTED_VALUE"""),10.0)</f>
        <v>10</v>
      </c>
      <c r="I57" s="162">
        <f>IFERROR(__xludf.DUMMYFUNCTION("""COMPUTED_VALUE"""),1.0)</f>
        <v>1</v>
      </c>
      <c r="J57" s="158">
        <f>IFERROR(__xludf.DUMMYFUNCTION("""COMPUTED_VALUE"""),10.0)</f>
        <v>10</v>
      </c>
      <c r="K57" s="157"/>
      <c r="L57" s="161">
        <f>IFERROR(__xludf.DUMMYFUNCTION("""COMPUTED_VALUE"""),10.0)</f>
        <v>10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155">
        <f>IFERROR(__xludf.DUMMYFUNCTION("""COMPUTED_VALUE"""),8.0)</f>
        <v>8</v>
      </c>
      <c r="F58" s="155">
        <f>IFERROR(__xludf.DUMMYFUNCTION("""COMPUTED_VALUE"""),2.0)</f>
        <v>2</v>
      </c>
      <c r="G58" s="155"/>
      <c r="H58" s="156">
        <f>IFERROR(__xludf.DUMMYFUNCTION("""COMPUTED_VALUE"""),10.0)</f>
        <v>10</v>
      </c>
      <c r="I58" s="162">
        <f>IFERROR(__xludf.DUMMYFUNCTION("""COMPUTED_VALUE"""),3.0)</f>
        <v>3</v>
      </c>
      <c r="J58" s="158">
        <f>IFERROR(__xludf.DUMMYFUNCTION("""COMPUTED_VALUE"""),10.0)</f>
        <v>10</v>
      </c>
      <c r="K58" s="157"/>
      <c r="L58" s="161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155">
        <f>IFERROR(__xludf.DUMMYFUNCTION("""COMPUTED_VALUE"""),5.0)</f>
        <v>5</v>
      </c>
      <c r="F59" s="155">
        <f>IFERROR(__xludf.DUMMYFUNCTION("""COMPUTED_VALUE"""),1.2)</f>
        <v>1.2</v>
      </c>
      <c r="G59" s="155"/>
      <c r="H59" s="156">
        <f>IFERROR(__xludf.DUMMYFUNCTION("""COMPUTED_VALUE"""),6.2)</f>
        <v>6.2</v>
      </c>
      <c r="I59" s="162">
        <f>IFERROR(__xludf.DUMMYFUNCTION("""COMPUTED_VALUE"""),0.0)</f>
        <v>0</v>
      </c>
      <c r="J59" s="158">
        <f>IFERROR(__xludf.DUMMYFUNCTION("""COMPUTED_VALUE"""),6.0)</f>
        <v>6</v>
      </c>
      <c r="K59" s="157"/>
      <c r="L59" s="161">
        <f>IFERROR(__xludf.DUMMYFUNCTION("""COMPUTED_VALUE"""),6.0)</f>
        <v>6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155">
        <f>IFERROR(__xludf.DUMMYFUNCTION("""COMPUTED_VALUE"""),4.0)</f>
        <v>4</v>
      </c>
      <c r="F60" s="155">
        <f>IFERROR(__xludf.DUMMYFUNCTION("""COMPUTED_VALUE"""),2.0)</f>
        <v>2</v>
      </c>
      <c r="G60" s="155"/>
      <c r="H60" s="156">
        <f>IFERROR(__xludf.DUMMYFUNCTION("""COMPUTED_VALUE"""),6.0)</f>
        <v>6</v>
      </c>
      <c r="I60" s="162">
        <f>IFERROR(__xludf.DUMMYFUNCTION("""COMPUTED_VALUE"""),0.0)</f>
        <v>0</v>
      </c>
      <c r="J60" s="158">
        <f>IFERROR(__xludf.DUMMYFUNCTION("""COMPUTED_VALUE"""),6.0)</f>
        <v>6</v>
      </c>
      <c r="K60" s="157"/>
      <c r="L60" s="161">
        <f>IFERROR(__xludf.DUMMYFUNCTION("""COMPUTED_VALUE"""),6.0)</f>
        <v>6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155">
        <f>IFERROR(__xludf.DUMMYFUNCTION("""COMPUTED_VALUE"""),6.0)</f>
        <v>6</v>
      </c>
      <c r="F61" s="155">
        <f>IFERROR(__xludf.DUMMYFUNCTION("""COMPUTED_VALUE"""),2.0)</f>
        <v>2</v>
      </c>
      <c r="G61" s="155"/>
      <c r="H61" s="156">
        <f>IFERROR(__xludf.DUMMYFUNCTION("""COMPUTED_VALUE"""),8.0)</f>
        <v>8</v>
      </c>
      <c r="I61" s="162">
        <f>IFERROR(__xludf.DUMMYFUNCTION("""COMPUTED_VALUE"""),0.0)</f>
        <v>0</v>
      </c>
      <c r="J61" s="158">
        <f>IFERROR(__xludf.DUMMYFUNCTION("""COMPUTED_VALUE"""),8.0)</f>
        <v>8</v>
      </c>
      <c r="K61" s="157"/>
      <c r="L61" s="161">
        <f>IFERROR(__xludf.DUMMYFUNCTION("""COMPUTED_VALUE"""),8.0)</f>
        <v>8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155">
        <f>IFERROR(__xludf.DUMMYFUNCTION("""COMPUTED_VALUE"""),7.0)</f>
        <v>7</v>
      </c>
      <c r="F62" s="155">
        <f>IFERROR(__xludf.DUMMYFUNCTION("""COMPUTED_VALUE"""),2.0)</f>
        <v>2</v>
      </c>
      <c r="G62" s="155">
        <f>IFERROR(__xludf.DUMMYFUNCTION("""COMPUTED_VALUE"""),1.0)</f>
        <v>1</v>
      </c>
      <c r="H62" s="156">
        <f>IFERROR(__xludf.DUMMYFUNCTION("""COMPUTED_VALUE"""),10.0)</f>
        <v>10</v>
      </c>
      <c r="I62" s="155">
        <f>IFERROR(__xludf.DUMMYFUNCTION("""COMPUTED_VALUE"""),0.0)</f>
        <v>0</v>
      </c>
      <c r="J62" s="158">
        <f>IFERROR(__xludf.DUMMYFUNCTION("""COMPUTED_VALUE"""),10.0)</f>
        <v>10</v>
      </c>
      <c r="K62" s="157"/>
      <c r="L62" s="161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155">
        <f>IFERROR(__xludf.DUMMYFUNCTION("""COMPUTED_VALUE"""),4.0)</f>
        <v>4</v>
      </c>
      <c r="F63" s="155">
        <f>IFERROR(__xludf.DUMMYFUNCTION("""COMPUTED_VALUE"""),2.0)</f>
        <v>2</v>
      </c>
      <c r="G63" s="155"/>
      <c r="H63" s="156">
        <f>IFERROR(__xludf.DUMMYFUNCTION("""COMPUTED_VALUE"""),6.0)</f>
        <v>6</v>
      </c>
      <c r="I63" s="155">
        <f>IFERROR(__xludf.DUMMYFUNCTION("""COMPUTED_VALUE"""),1.0)</f>
        <v>1</v>
      </c>
      <c r="J63" s="158">
        <f>IFERROR(__xludf.DUMMYFUNCTION("""COMPUTED_VALUE"""),6.0)</f>
        <v>6</v>
      </c>
      <c r="K63" s="157"/>
      <c r="L63" s="161">
        <f>IFERROR(__xludf.DUMMYFUNCTION("""COMPUTED_VALUE"""),6.0)</f>
        <v>6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/>
      <c r="B64" s="163"/>
      <c r="C64" s="163"/>
      <c r="D64" s="127"/>
      <c r="E64" s="164"/>
      <c r="F64" s="164"/>
      <c r="G64" s="164"/>
      <c r="H64" s="164"/>
      <c r="I64" s="132"/>
      <c r="J64" s="165"/>
      <c r="K64" s="128"/>
      <c r="L64" s="165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 t="str">
        <f>IFERROR(__xludf.DUMMYFUNCTION("""COMPUTED_VALUE"""),"No. DE ALUMNOS INSCRITOS")</f>
        <v>No. DE ALUMNOS INSCRITOS</v>
      </c>
      <c r="C65" s="74"/>
      <c r="D65" s="202">
        <f>IFERROR(__xludf.DUMMYFUNCTION("""COMPUTED_VALUE"""),47.0)</f>
        <v>47</v>
      </c>
      <c r="E65" s="164"/>
      <c r="F65" s="168" t="str">
        <f>IFERROR(__xludf.DUMMYFUNCTION("""COMPUTED_VALUE"""),"FIRMA DEL PROFESOR")</f>
        <v>FIRMA DEL PROFESOR</v>
      </c>
      <c r="G65" s="164"/>
      <c r="H65" s="168" t="str">
        <f>IFERROR(__xludf.DUMMYFUNCTION("""COMPUTED_VALUE"""),"FIRMA DEL ORIENTADOR")</f>
        <v>FIRMA DEL ORIENTADOR</v>
      </c>
      <c r="J65" s="169" t="str">
        <f>IFERROR(__xludf.DUMMYFUNCTION("""COMPUTED_VALUE"""),"Vo. Bo. SUBDIRECCIÓN ESCOLAR")</f>
        <v>Vo. Bo. SUBDIRECCIÓN ESCOLAR</v>
      </c>
      <c r="K65" s="170" t="str">
        <f>IFERROR(__xludf.DUMMYFUNCTION("""COMPUTED_VALUE"""),"REVISADO POR SECRETARIA ESCOLAR ")</f>
        <v>REVISADO POR SECRETARIA ESCOLAR </v>
      </c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IFERROR(__xludf.DUMMYFUNCTION("""COMPUTED_VALUE"""),"BAJAS DURANTE EL SEMESTRE")</f>
        <v>BAJAS DURANTE EL SEMESTRE</v>
      </c>
      <c r="C66" s="81"/>
      <c r="D66" s="203">
        <f>IFERROR(__xludf.DUMMYFUNCTION("""COMPUTED_VALUE"""),0.0)</f>
        <v>0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IFERROR(__xludf.DUMMYFUNCTION("""COMPUTED_VALUE"""),"EXISTENCIA")</f>
        <v>EXISTENCIA</v>
      </c>
      <c r="C67" s="81"/>
      <c r="D67" s="179">
        <f>IFERROR(__xludf.DUMMYFUNCTION("""COMPUTED_VALUE"""),47.0)</f>
        <v>47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IFERROR(__xludf.DUMMYFUNCTION("""COMPUTED_VALUE"""),"No. DE ALUMNOS APROBADOS")</f>
        <v>No. DE ALUMNOS APROBADOS</v>
      </c>
      <c r="C68" s="81"/>
      <c r="D68" s="174">
        <f>IFERROR(__xludf.DUMMYFUNCTION("""COMPUTED_VALUE"""),47.0)</f>
        <v>47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REPROBADOS")</f>
        <v>No. DE ALUMNOS REPROBADOS</v>
      </c>
      <c r="C69" s="81"/>
      <c r="D69" s="174">
        <f>IFERROR(__xludf.DUMMYFUNCTION("""COMPUTED_VALUE"""),0.0)</f>
        <v>0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IFERROR(__xludf.DUMMYFUNCTION("""COMPUTED_VALUE"""),"% DE APROBADOS")</f>
        <v>% DE APROBADOS</v>
      </c>
      <c r="C70" s="81"/>
      <c r="D70" s="179">
        <f>IFERROR(__xludf.DUMMYFUNCTION("""COMPUTED_VALUE"""),100.0)</f>
        <v>100</v>
      </c>
      <c r="E70" s="127"/>
      <c r="F70" s="180" t="str">
        <f>IFERROR(__xludf.DUMMYFUNCTION("""COMPUTED_VALUE"""),"PROFR. ")</f>
        <v>PROFR. </v>
      </c>
      <c r="G70" s="130"/>
      <c r="H70" s="95" t="str">
        <f>IFERROR(__xludf.DUMMYFUNCTION("""COMPUTED_VALUE"""),"PROFRA. ANA ISABEL CORREA SALGADO")</f>
        <v>PROFRA. ANA ISABEL CORREA SALGADO</v>
      </c>
      <c r="J70" s="181" t="str">
        <f>IFERROR(__xludf.DUMMYFUNCTION("""COMPUTED_VALUE"""),"PROFR. OCTAVIO VÁZQUEZ BARRETO")</f>
        <v>PROFR. OCTAVIO VÁZQUEZ BARRETO</v>
      </c>
      <c r="K70" s="182" t="str">
        <f>IFERROR(__xludf.DUMMYFUNCTION("""COMPUTED_VALUE"""),"PROFR. ROBERTO PALOMARES MEJÍA ")</f>
        <v>PROFR. ROBERTO PALOMARES MEJÍA 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183" t="str">
        <f>IFERROR(__xludf.DUMMYFUNCTION("""COMPUTED_VALUE"""),"PROMEDIO")</f>
        <v>PROMEDIO</v>
      </c>
      <c r="C71" s="100"/>
      <c r="D71" s="184">
        <f>IFERROR(__xludf.DUMMYFUNCTION("""COMPUTED_VALUE"""),7.914893617021277)</f>
        <v>7.914893617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/>
      <c r="C72" s="121"/>
      <c r="D72" s="121"/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IFERROR(__xludf.DUMMYFUNCTION("IMPORTRANGE(""https://docs.google.com/spreadsheets/d/1G21Rae1HEvKyziJfdvU9KNUk-9v3MIQn0XxsBZDk7Uk/edit?gid=868681460#gid=868681460"",""2-1 actividades artisticas y culturales i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IFERROR(__xludf.DUMMYFUNCTION("""COMPUTED_VALUE"""),"Claudia Ivone Torres Moreno")</f>
        <v>Claudia Ivone Torres Moreno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IFERROR(__xludf.DUMMYFUNCTION("""COMPUTED_VALUE"""),"ACTIVIDADES ARTÍSTICAS Y CULTURALES I")</f>
        <v>ACTIVIDADES ARTÍSTICAS Y CULTURALES 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>
        <f>IFERROR(__xludf.DUMMYFUNCTION("""COMPUTED_VALUE"""),8.0)</f>
        <v>8</v>
      </c>
      <c r="F17" s="155">
        <f>IFERROR(__xludf.DUMMYFUNCTION("""COMPUTED_VALUE"""),2.0)</f>
        <v>2</v>
      </c>
      <c r="G17" s="155"/>
      <c r="H17" s="156">
        <f>IFERROR(__xludf.DUMMYFUNCTION("""COMPUTED_VALUE"""),10.0)</f>
        <v>10</v>
      </c>
      <c r="I17" s="157">
        <f>IFERROR(__xludf.DUMMYFUNCTION("""COMPUTED_VALUE"""),0.0)</f>
        <v>0</v>
      </c>
      <c r="J17" s="158">
        <f>IFERROR(__xludf.DUMMYFUNCTION("""COMPUTED_VALUE"""),10.0)</f>
        <v>10</v>
      </c>
      <c r="K17" s="159"/>
      <c r="L17" s="160">
        <f>IFERROR(__xludf.DUMMYFUNCTION("""COMPUTED_VALUE"""),10.0)</f>
        <v>10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>
        <f>IFERROR(__xludf.DUMMYFUNCTION("""COMPUTED_VALUE"""),7.7)</f>
        <v>7.7</v>
      </c>
      <c r="F18" s="155">
        <f>IFERROR(__xludf.DUMMYFUNCTION("""COMPUTED_VALUE"""),2.0)</f>
        <v>2</v>
      </c>
      <c r="G18" s="155"/>
      <c r="H18" s="156">
        <f>IFERROR(__xludf.DUMMYFUNCTION("""COMPUTED_VALUE"""),9.7)</f>
        <v>9.7</v>
      </c>
      <c r="I18" s="157">
        <f>IFERROR(__xludf.DUMMYFUNCTION("""COMPUTED_VALUE"""),0.0)</f>
        <v>0</v>
      </c>
      <c r="J18" s="158">
        <f>IFERROR(__xludf.DUMMYFUNCTION("""COMPUTED_VALUE"""),10.0)</f>
        <v>10</v>
      </c>
      <c r="K18" s="157"/>
      <c r="L18" s="160">
        <f>IFERROR(__xludf.DUMMYFUNCTION("""COMPUTED_VALUE"""),10.0)</f>
        <v>10</v>
      </c>
      <c r="M18" s="121" t="str">
        <f>IFERROR(__xludf.DUMMYFUNCTION("""COMPUTED_VALUE"""),"Febrero")</f>
        <v>Febrero</v>
      </c>
      <c r="N18" s="121">
        <f>IFERROR(__xludf.DUMMYFUNCTION("""COMPUTED_VALUE"""),6.0)</f>
        <v>6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>
        <f>IFERROR(__xludf.DUMMYFUNCTION("""COMPUTED_VALUE"""),7.0)</f>
        <v>7</v>
      </c>
      <c r="F19" s="155">
        <f>IFERROR(__xludf.DUMMYFUNCTION("""COMPUTED_VALUE"""),1.2)</f>
        <v>1.2</v>
      </c>
      <c r="G19" s="155"/>
      <c r="H19" s="156">
        <f>IFERROR(__xludf.DUMMYFUNCTION("""COMPUTED_VALUE"""),8.2)</f>
        <v>8.2</v>
      </c>
      <c r="I19" s="157">
        <f>IFERROR(__xludf.DUMMYFUNCTION("""COMPUTED_VALUE"""),0.0)</f>
        <v>0</v>
      </c>
      <c r="J19" s="158">
        <f>IFERROR(__xludf.DUMMYFUNCTION("""COMPUTED_VALUE"""),8.0)</f>
        <v>8</v>
      </c>
      <c r="K19" s="157"/>
      <c r="L19" s="160">
        <f>IFERROR(__xludf.DUMMYFUNCTION("""COMPUTED_VALUE"""),8.0)</f>
        <v>8</v>
      </c>
      <c r="M19" s="121" t="str">
        <f>IFERROR(__xludf.DUMMYFUNCTION("""COMPUTED_VALUE"""),"Marzo")</f>
        <v>Marzo</v>
      </c>
      <c r="N19" s="121">
        <f>IFERROR(__xludf.DUMMYFUNCTION("""COMPUTED_VALUE"""),4.0)</f>
        <v>4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>
        <f>IFERROR(__xludf.DUMMYFUNCTION("""COMPUTED_VALUE"""),8.8)</f>
        <v>8.8</v>
      </c>
      <c r="F20" s="155">
        <f>IFERROR(__xludf.DUMMYFUNCTION("""COMPUTED_VALUE"""),2.0)</f>
        <v>2</v>
      </c>
      <c r="G20" s="155"/>
      <c r="H20" s="156">
        <f>IFERROR(__xludf.DUMMYFUNCTION("""COMPUTED_VALUE"""),10.8)</f>
        <v>10.8</v>
      </c>
      <c r="I20" s="157">
        <f>IFERROR(__xludf.DUMMYFUNCTION("""COMPUTED_VALUE"""),0.0)</f>
        <v>0</v>
      </c>
      <c r="J20" s="158">
        <f>IFERROR(__xludf.DUMMYFUNCTION("""COMPUTED_VALUE"""),10.0)</f>
        <v>10</v>
      </c>
      <c r="K20" s="157"/>
      <c r="L20" s="160">
        <f>IFERROR(__xludf.DUMMYFUNCTION("""COMPUTED_VALUE"""),11.0)</f>
        <v>11</v>
      </c>
      <c r="M20" s="121" t="str">
        <f>IFERROR(__xludf.DUMMYFUNCTION("""COMPUTED_VALUE"""),"Abril")</f>
        <v>Abril</v>
      </c>
      <c r="N20" s="121">
        <f>IFERROR(__xludf.DUMMYFUNCTION("""COMPUTED_VALUE"""),4.0)</f>
        <v>4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>
        <f>IFERROR(__xludf.DUMMYFUNCTION("""COMPUTED_VALUE"""),7.0)</f>
        <v>7</v>
      </c>
      <c r="F21" s="155">
        <f>IFERROR(__xludf.DUMMYFUNCTION("""COMPUTED_VALUE"""),1.4)</f>
        <v>1.4</v>
      </c>
      <c r="G21" s="155"/>
      <c r="H21" s="156">
        <f>IFERROR(__xludf.DUMMYFUNCTION("""COMPUTED_VALUE"""),8.4)</f>
        <v>8.4</v>
      </c>
      <c r="I21" s="157">
        <f>IFERROR(__xludf.DUMMYFUNCTION("""COMPUTED_VALUE"""),0.0)</f>
        <v>0</v>
      </c>
      <c r="J21" s="158">
        <f>IFERROR(__xludf.DUMMYFUNCTION("""COMPUTED_VALUE"""),8.0)</f>
        <v>8</v>
      </c>
      <c r="K21" s="157"/>
      <c r="L21" s="160">
        <f>IFERROR(__xludf.DUMMYFUNCTION("""COMPUTED_VALUE"""),8.0)</f>
        <v>8</v>
      </c>
      <c r="M21" s="121" t="str">
        <f>IFERROR(__xludf.DUMMYFUNCTION("""COMPUTED_VALUE"""),"Mayo")</f>
        <v>Mayo</v>
      </c>
      <c r="N21" s="121">
        <f>IFERROR(__xludf.DUMMYFUNCTION("""COMPUTED_VALUE"""),8.0)</f>
        <v>8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>
        <f>IFERROR(__xludf.DUMMYFUNCTION("""COMPUTED_VALUE"""),8.0)</f>
        <v>8</v>
      </c>
      <c r="F22" s="155">
        <f>IFERROR(__xludf.DUMMYFUNCTION("""COMPUTED_VALUE"""),2.0)</f>
        <v>2</v>
      </c>
      <c r="G22" s="155"/>
      <c r="H22" s="156">
        <f>IFERROR(__xludf.DUMMYFUNCTION("""COMPUTED_VALUE"""),10.0)</f>
        <v>10</v>
      </c>
      <c r="I22" s="157">
        <f>IFERROR(__xludf.DUMMYFUNCTION("""COMPUTED_VALUE"""),0.0)</f>
        <v>0</v>
      </c>
      <c r="J22" s="158">
        <f>IFERROR(__xludf.DUMMYFUNCTION("""COMPUTED_VALUE"""),10.0)</f>
        <v>10</v>
      </c>
      <c r="K22" s="157"/>
      <c r="L22" s="160">
        <f>IFERROR(__xludf.DUMMYFUNCTION("""COMPUTED_VALUE"""),10.0)</f>
        <v>10</v>
      </c>
      <c r="M22" s="121" t="str">
        <f>IFERROR(__xludf.DUMMYFUNCTION("""COMPUTED_VALUE"""),"Junio")</f>
        <v>Junio</v>
      </c>
      <c r="N22" s="121">
        <f>IFERROR(__xludf.DUMMYFUNCTION("""COMPUTED_VALUE"""),8.0)</f>
        <v>8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>
        <f>IFERROR(__xludf.DUMMYFUNCTION("""COMPUTED_VALUE"""),6.5)</f>
        <v>6.5</v>
      </c>
      <c r="F23" s="155">
        <f>IFERROR(__xludf.DUMMYFUNCTION("""COMPUTED_VALUE"""),1.4)</f>
        <v>1.4</v>
      </c>
      <c r="G23" s="155"/>
      <c r="H23" s="156">
        <f>IFERROR(__xludf.DUMMYFUNCTION("""COMPUTED_VALUE"""),7.9)</f>
        <v>7.9</v>
      </c>
      <c r="I23" s="157">
        <f>IFERROR(__xludf.DUMMYFUNCTION("""COMPUTED_VALUE"""),0.0)</f>
        <v>0</v>
      </c>
      <c r="J23" s="158">
        <f>IFERROR(__xludf.DUMMYFUNCTION("""COMPUTED_VALUE"""),8.0)</f>
        <v>8</v>
      </c>
      <c r="K23" s="157"/>
      <c r="L23" s="160">
        <f>IFERROR(__xludf.DUMMYFUNCTION("""COMPUTED_VALUE"""),8.0)</f>
        <v>8</v>
      </c>
      <c r="M23" s="121" t="str">
        <f>IFERROR(__xludf.DUMMYFUNCTION("""COMPUTED_VALUE"""),"Julio")</f>
        <v>Julio</v>
      </c>
      <c r="N23" s="121">
        <f>IFERROR(__xludf.DUMMYFUNCTION("""COMPUTED_VALUE"""),4.0)</f>
        <v>4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>
        <f>IFERROR(__xludf.DUMMYFUNCTION("""COMPUTED_VALUE"""),6.5)</f>
        <v>6.5</v>
      </c>
      <c r="F24" s="155">
        <f>IFERROR(__xludf.DUMMYFUNCTION("""COMPUTED_VALUE"""),1.7)</f>
        <v>1.7</v>
      </c>
      <c r="G24" s="155"/>
      <c r="H24" s="156">
        <f>IFERROR(__xludf.DUMMYFUNCTION("""COMPUTED_VALUE"""),8.2)</f>
        <v>8.2</v>
      </c>
      <c r="I24" s="157">
        <f>IFERROR(__xludf.DUMMYFUNCTION("""COMPUTED_VALUE"""),0.0)</f>
        <v>0</v>
      </c>
      <c r="J24" s="158">
        <f>IFERROR(__xludf.DUMMYFUNCTION("""COMPUTED_VALUE"""),8.0)</f>
        <v>8</v>
      </c>
      <c r="K24" s="157"/>
      <c r="L24" s="160">
        <f>IFERROR(__xludf.DUMMYFUNCTION("""COMPUTED_VALUE"""),8.0)</f>
        <v>8</v>
      </c>
      <c r="M24" s="121" t="str">
        <f>IFERROR(__xludf.DUMMYFUNCTION("""COMPUTED_VALUE"""),"TOTAL")</f>
        <v>TOTAL</v>
      </c>
      <c r="N24" s="121">
        <f>IFERROR(__xludf.DUMMYFUNCTION("""COMPUTED_VALUE"""),34.0)</f>
        <v>34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>
        <f>IFERROR(__xludf.DUMMYFUNCTION("""COMPUTED_VALUE"""),8.0)</f>
        <v>8</v>
      </c>
      <c r="F25" s="155">
        <f>IFERROR(__xludf.DUMMYFUNCTION("""COMPUTED_VALUE"""),2.0)</f>
        <v>2</v>
      </c>
      <c r="G25" s="155"/>
      <c r="H25" s="156">
        <f>IFERROR(__xludf.DUMMYFUNCTION("""COMPUTED_VALUE"""),10.0)</f>
        <v>10</v>
      </c>
      <c r="I25" s="157">
        <f>IFERROR(__xludf.DUMMYFUNCTION("""COMPUTED_VALUE"""),0.0)</f>
        <v>0</v>
      </c>
      <c r="J25" s="158">
        <f>IFERROR(__xludf.DUMMYFUNCTION("""COMPUTED_VALUE"""),10.0)</f>
        <v>10</v>
      </c>
      <c r="K25" s="157"/>
      <c r="L25" s="160">
        <f>IFERROR(__xludf.DUMMYFUNCTION("""COMPUTED_VALUE"""),10.0)</f>
        <v>10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>
        <f>IFERROR(__xludf.DUMMYFUNCTION("""COMPUTED_VALUE"""),5.0)</f>
        <v>5</v>
      </c>
      <c r="F26" s="155">
        <f>IFERROR(__xludf.DUMMYFUNCTION("""COMPUTED_VALUE"""),1.2)</f>
        <v>1.2</v>
      </c>
      <c r="G26" s="155"/>
      <c r="H26" s="156">
        <f>IFERROR(__xludf.DUMMYFUNCTION("""COMPUTED_VALUE"""),6.2)</f>
        <v>6.2</v>
      </c>
      <c r="I26" s="157">
        <f>IFERROR(__xludf.DUMMYFUNCTION("""COMPUTED_VALUE"""),2.0)</f>
        <v>2</v>
      </c>
      <c r="J26" s="158">
        <f>IFERROR(__xludf.DUMMYFUNCTION("""COMPUTED_VALUE"""),6.0)</f>
        <v>6</v>
      </c>
      <c r="K26" s="157"/>
      <c r="L26" s="160">
        <f>IFERROR(__xludf.DUMMYFUNCTION("""COMPUTED_VALUE"""),6.0)</f>
        <v>6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>
        <f>IFERROR(__xludf.DUMMYFUNCTION("""COMPUTED_VALUE"""),7.0)</f>
        <v>7</v>
      </c>
      <c r="F27" s="155">
        <f>IFERROR(__xludf.DUMMYFUNCTION("""COMPUTED_VALUE"""),1.6)</f>
        <v>1.6</v>
      </c>
      <c r="G27" s="155"/>
      <c r="H27" s="156">
        <f>IFERROR(__xludf.DUMMYFUNCTION("""COMPUTED_VALUE"""),8.6)</f>
        <v>8.6</v>
      </c>
      <c r="I27" s="157">
        <f>IFERROR(__xludf.DUMMYFUNCTION("""COMPUTED_VALUE"""),0.0)</f>
        <v>0</v>
      </c>
      <c r="J27" s="158">
        <f>IFERROR(__xludf.DUMMYFUNCTION("""COMPUTED_VALUE"""),9.0)</f>
        <v>9</v>
      </c>
      <c r="K27" s="157"/>
      <c r="L27" s="160">
        <f>IFERROR(__xludf.DUMMYFUNCTION("""COMPUTED_VALUE"""),9.0)</f>
        <v>9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>
        <f>IFERROR(__xludf.DUMMYFUNCTION("""COMPUTED_VALUE"""),7.0)</f>
        <v>7</v>
      </c>
      <c r="F28" s="155">
        <f>IFERROR(__xludf.DUMMYFUNCTION("""COMPUTED_VALUE"""),1.4)</f>
        <v>1.4</v>
      </c>
      <c r="G28" s="155"/>
      <c r="H28" s="156">
        <f>IFERROR(__xludf.DUMMYFUNCTION("""COMPUTED_VALUE"""),8.4)</f>
        <v>8.4</v>
      </c>
      <c r="I28" s="157">
        <f>IFERROR(__xludf.DUMMYFUNCTION("""COMPUTED_VALUE"""),0.0)</f>
        <v>0</v>
      </c>
      <c r="J28" s="158">
        <f>IFERROR(__xludf.DUMMYFUNCTION("""COMPUTED_VALUE"""),8.0)</f>
        <v>8</v>
      </c>
      <c r="K28" s="157"/>
      <c r="L28" s="160">
        <f>IFERROR(__xludf.DUMMYFUNCTION("""COMPUTED_VALUE"""),8.0)</f>
        <v>8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>
        <f>IFERROR(__xludf.DUMMYFUNCTION("""COMPUTED_VALUE"""),6.2)</f>
        <v>6.2</v>
      </c>
      <c r="F29" s="155">
        <f>IFERROR(__xludf.DUMMYFUNCTION("""COMPUTED_VALUE"""),1.2)</f>
        <v>1.2</v>
      </c>
      <c r="G29" s="155"/>
      <c r="H29" s="156">
        <f>IFERROR(__xludf.DUMMYFUNCTION("""COMPUTED_VALUE"""),7.4)</f>
        <v>7.4</v>
      </c>
      <c r="I29" s="157">
        <f>IFERROR(__xludf.DUMMYFUNCTION("""COMPUTED_VALUE"""),0.0)</f>
        <v>0</v>
      </c>
      <c r="J29" s="158">
        <f>IFERROR(__xludf.DUMMYFUNCTION("""COMPUTED_VALUE"""),7.0)</f>
        <v>7</v>
      </c>
      <c r="K29" s="157"/>
      <c r="L29" s="160">
        <f>IFERROR(__xludf.DUMMYFUNCTION("""COMPUTED_VALUE"""),7.0)</f>
        <v>7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>
        <f>IFERROR(__xludf.DUMMYFUNCTION("""COMPUTED_VALUE"""),3.0)</f>
        <v>3</v>
      </c>
      <c r="F30" s="155">
        <f>IFERROR(__xludf.DUMMYFUNCTION("""COMPUTED_VALUE"""),2.0)</f>
        <v>2</v>
      </c>
      <c r="G30" s="155"/>
      <c r="H30" s="156">
        <f>IFERROR(__xludf.DUMMYFUNCTION("""COMPUTED_VALUE"""),5.0)</f>
        <v>5</v>
      </c>
      <c r="I30" s="157">
        <f>IFERROR(__xludf.DUMMYFUNCTION("""COMPUTED_VALUE"""),4.0)</f>
        <v>4</v>
      </c>
      <c r="J30" s="158">
        <f>IFERROR(__xludf.DUMMYFUNCTION("""COMPUTED_VALUE"""),5.0)</f>
        <v>5</v>
      </c>
      <c r="K30" s="157"/>
      <c r="L30" s="160">
        <f>IFERROR(__xludf.DUMMYFUNCTION("""COMPUTED_VALUE"""),5.0)</f>
        <v>5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>
        <f>IFERROR(__xludf.DUMMYFUNCTION("""COMPUTED_VALUE"""),9.0)</f>
        <v>9</v>
      </c>
      <c r="F31" s="155">
        <f>IFERROR(__xludf.DUMMYFUNCTION("""COMPUTED_VALUE"""),2.0)</f>
        <v>2</v>
      </c>
      <c r="G31" s="155"/>
      <c r="H31" s="156">
        <f>IFERROR(__xludf.DUMMYFUNCTION("""COMPUTED_VALUE"""),11.0)</f>
        <v>11</v>
      </c>
      <c r="I31" s="157">
        <f>IFERROR(__xludf.DUMMYFUNCTION("""COMPUTED_VALUE"""),0.0)</f>
        <v>0</v>
      </c>
      <c r="J31" s="158">
        <f>IFERROR(__xludf.DUMMYFUNCTION("""COMPUTED_VALUE"""),10.0)</f>
        <v>10</v>
      </c>
      <c r="K31" s="157"/>
      <c r="L31" s="160">
        <f>IFERROR(__xludf.DUMMYFUNCTION("""COMPUTED_VALUE"""),11.0)</f>
        <v>11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>
        <f>IFERROR(__xludf.DUMMYFUNCTION("""COMPUTED_VALUE"""),6.0)</f>
        <v>6</v>
      </c>
      <c r="F32" s="155">
        <f>IFERROR(__xludf.DUMMYFUNCTION("""COMPUTED_VALUE"""),0.8)</f>
        <v>0.8</v>
      </c>
      <c r="G32" s="155"/>
      <c r="H32" s="156">
        <f>IFERROR(__xludf.DUMMYFUNCTION("""COMPUTED_VALUE"""),6.8)</f>
        <v>6.8</v>
      </c>
      <c r="I32" s="157">
        <f>IFERROR(__xludf.DUMMYFUNCTION("""COMPUTED_VALUE"""),0.0)</f>
        <v>0</v>
      </c>
      <c r="J32" s="158">
        <f>IFERROR(__xludf.DUMMYFUNCTION("""COMPUTED_VALUE"""),7.0)</f>
        <v>7</v>
      </c>
      <c r="K32" s="157"/>
      <c r="L32" s="160">
        <f>IFERROR(__xludf.DUMMYFUNCTION("""COMPUTED_VALUE"""),7.0)</f>
        <v>7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>
        <f>IFERROR(__xludf.DUMMYFUNCTION("""COMPUTED_VALUE"""),8.0)</f>
        <v>8</v>
      </c>
      <c r="F33" s="155">
        <f>IFERROR(__xludf.DUMMYFUNCTION("""COMPUTED_VALUE"""),1.6)</f>
        <v>1.6</v>
      </c>
      <c r="G33" s="155"/>
      <c r="H33" s="156">
        <f>IFERROR(__xludf.DUMMYFUNCTION("""COMPUTED_VALUE"""),9.6)</f>
        <v>9.6</v>
      </c>
      <c r="I33" s="157">
        <f>IFERROR(__xludf.DUMMYFUNCTION("""COMPUTED_VALUE"""),0.0)</f>
        <v>0</v>
      </c>
      <c r="J33" s="158">
        <f>IFERROR(__xludf.DUMMYFUNCTION("""COMPUTED_VALUE"""),10.0)</f>
        <v>10</v>
      </c>
      <c r="K33" s="157"/>
      <c r="L33" s="160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>
        <f>IFERROR(__xludf.DUMMYFUNCTION("""COMPUTED_VALUE"""),5.6)</f>
        <v>5.6</v>
      </c>
      <c r="F34" s="155">
        <f>IFERROR(__xludf.DUMMYFUNCTION("""COMPUTED_VALUE"""),1.5)</f>
        <v>1.5</v>
      </c>
      <c r="G34" s="155"/>
      <c r="H34" s="156">
        <f>IFERROR(__xludf.DUMMYFUNCTION("""COMPUTED_VALUE"""),7.1)</f>
        <v>7.1</v>
      </c>
      <c r="I34" s="157">
        <f>IFERROR(__xludf.DUMMYFUNCTION("""COMPUTED_VALUE"""),0.0)</f>
        <v>0</v>
      </c>
      <c r="J34" s="158">
        <f>IFERROR(__xludf.DUMMYFUNCTION("""COMPUTED_VALUE"""),7.0)</f>
        <v>7</v>
      </c>
      <c r="K34" s="157"/>
      <c r="L34" s="160">
        <f>IFERROR(__xludf.DUMMYFUNCTION("""COMPUTED_VALUE"""),7.0)</f>
        <v>7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>
        <f>IFERROR(__xludf.DUMMYFUNCTION("""COMPUTED_VALUE"""),7.6)</f>
        <v>7.6</v>
      </c>
      <c r="F35" s="155">
        <f>IFERROR(__xludf.DUMMYFUNCTION("""COMPUTED_VALUE"""),2.0)</f>
        <v>2</v>
      </c>
      <c r="G35" s="155"/>
      <c r="H35" s="156">
        <f>IFERROR(__xludf.DUMMYFUNCTION("""COMPUTED_VALUE"""),9.6)</f>
        <v>9.6</v>
      </c>
      <c r="I35" s="157">
        <f>IFERROR(__xludf.DUMMYFUNCTION("""COMPUTED_VALUE"""),0.0)</f>
        <v>0</v>
      </c>
      <c r="J35" s="158">
        <f>IFERROR(__xludf.DUMMYFUNCTION("""COMPUTED_VALUE"""),10.0)</f>
        <v>10</v>
      </c>
      <c r="K35" s="157"/>
      <c r="L35" s="160">
        <f>IFERROR(__xludf.DUMMYFUNCTION("""COMPUTED_VALUE"""),10.0)</f>
        <v>10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>
        <f>IFERROR(__xludf.DUMMYFUNCTION("""COMPUTED_VALUE"""),8.0)</f>
        <v>8</v>
      </c>
      <c r="F36" s="155">
        <f>IFERROR(__xludf.DUMMYFUNCTION("""COMPUTED_VALUE"""),2.0)</f>
        <v>2</v>
      </c>
      <c r="G36" s="155"/>
      <c r="H36" s="156">
        <f>IFERROR(__xludf.DUMMYFUNCTION("""COMPUTED_VALUE"""),10.0)</f>
        <v>10</v>
      </c>
      <c r="I36" s="157">
        <f>IFERROR(__xludf.DUMMYFUNCTION("""COMPUTED_VALUE"""),0.0)</f>
        <v>0</v>
      </c>
      <c r="J36" s="158">
        <f>IFERROR(__xludf.DUMMYFUNCTION("""COMPUTED_VALUE"""),10.0)</f>
        <v>10</v>
      </c>
      <c r="K36" s="157"/>
      <c r="L36" s="160">
        <f>IFERROR(__xludf.DUMMYFUNCTION("""COMPUTED_VALUE"""),10.0)</f>
        <v>10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>
        <f>IFERROR(__xludf.DUMMYFUNCTION("""COMPUTED_VALUE"""),6.4)</f>
        <v>6.4</v>
      </c>
      <c r="F37" s="155">
        <f>IFERROR(__xludf.DUMMYFUNCTION("""COMPUTED_VALUE"""),1.4)</f>
        <v>1.4</v>
      </c>
      <c r="G37" s="155"/>
      <c r="H37" s="156">
        <f>IFERROR(__xludf.DUMMYFUNCTION("""COMPUTED_VALUE"""),7.800000000000001)</f>
        <v>7.8</v>
      </c>
      <c r="I37" s="157">
        <f>IFERROR(__xludf.DUMMYFUNCTION("""COMPUTED_VALUE"""),0.0)</f>
        <v>0</v>
      </c>
      <c r="J37" s="158">
        <f>IFERROR(__xludf.DUMMYFUNCTION("""COMPUTED_VALUE"""),8.0)</f>
        <v>8</v>
      </c>
      <c r="K37" s="157"/>
      <c r="L37" s="160">
        <f>IFERROR(__xludf.DUMMYFUNCTION("""COMPUTED_VALUE"""),8.0)</f>
        <v>8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>
        <f>IFERROR(__xludf.DUMMYFUNCTION("""COMPUTED_VALUE"""),6.5)</f>
        <v>6.5</v>
      </c>
      <c r="F38" s="155">
        <f>IFERROR(__xludf.DUMMYFUNCTION("""COMPUTED_VALUE"""),1.6)</f>
        <v>1.6</v>
      </c>
      <c r="G38" s="155"/>
      <c r="H38" s="156">
        <f>IFERROR(__xludf.DUMMYFUNCTION("""COMPUTED_VALUE"""),8.1)</f>
        <v>8.1</v>
      </c>
      <c r="I38" s="157">
        <f>IFERROR(__xludf.DUMMYFUNCTION("""COMPUTED_VALUE"""),0.0)</f>
        <v>0</v>
      </c>
      <c r="J38" s="158">
        <f>IFERROR(__xludf.DUMMYFUNCTION("""COMPUTED_VALUE"""),8.0)</f>
        <v>8</v>
      </c>
      <c r="K38" s="157"/>
      <c r="L38" s="160">
        <f>IFERROR(__xludf.DUMMYFUNCTION("""COMPUTED_VALUE"""),8.0)</f>
        <v>8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>
        <f>IFERROR(__xludf.DUMMYFUNCTION("""COMPUTED_VALUE"""),7.5)</f>
        <v>7.5</v>
      </c>
      <c r="F39" s="155">
        <f>IFERROR(__xludf.DUMMYFUNCTION("""COMPUTED_VALUE"""),1.8)</f>
        <v>1.8</v>
      </c>
      <c r="G39" s="155"/>
      <c r="H39" s="156">
        <f>IFERROR(__xludf.DUMMYFUNCTION("""COMPUTED_VALUE"""),9.3)</f>
        <v>9.3</v>
      </c>
      <c r="I39" s="157">
        <f>IFERROR(__xludf.DUMMYFUNCTION("""COMPUTED_VALUE"""),0.0)</f>
        <v>0</v>
      </c>
      <c r="J39" s="158">
        <f>IFERROR(__xludf.DUMMYFUNCTION("""COMPUTED_VALUE"""),9.0)</f>
        <v>9</v>
      </c>
      <c r="K39" s="157"/>
      <c r="L39" s="160">
        <f>IFERROR(__xludf.DUMMYFUNCTION("""COMPUTED_VALUE"""),9.0)</f>
        <v>9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>
        <f>IFERROR(__xludf.DUMMYFUNCTION("""COMPUTED_VALUE"""),5.0)</f>
        <v>5</v>
      </c>
      <c r="F40" s="155">
        <f>IFERROR(__xludf.DUMMYFUNCTION("""COMPUTED_VALUE"""),0.8)</f>
        <v>0.8</v>
      </c>
      <c r="G40" s="155"/>
      <c r="H40" s="156">
        <f>IFERROR(__xludf.DUMMYFUNCTION("""COMPUTED_VALUE"""),5.8)</f>
        <v>5.8</v>
      </c>
      <c r="I40" s="157">
        <f>IFERROR(__xludf.DUMMYFUNCTION("""COMPUTED_VALUE"""),0.0)</f>
        <v>0</v>
      </c>
      <c r="J40" s="158">
        <f>IFERROR(__xludf.DUMMYFUNCTION("""COMPUTED_VALUE"""),5.0)</f>
        <v>5</v>
      </c>
      <c r="K40" s="157"/>
      <c r="L40" s="160">
        <f>IFERROR(__xludf.DUMMYFUNCTION("""COMPUTED_VALUE"""),5.0)</f>
        <v>5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>
        <f>IFERROR(__xludf.DUMMYFUNCTION("""COMPUTED_VALUE"""),7.4)</f>
        <v>7.4</v>
      </c>
      <c r="F41" s="155">
        <f>IFERROR(__xludf.DUMMYFUNCTION("""COMPUTED_VALUE"""),1.2)</f>
        <v>1.2</v>
      </c>
      <c r="G41" s="155"/>
      <c r="H41" s="156">
        <f>IFERROR(__xludf.DUMMYFUNCTION("""COMPUTED_VALUE"""),8.6)</f>
        <v>8.6</v>
      </c>
      <c r="I41" s="157">
        <f>IFERROR(__xludf.DUMMYFUNCTION("""COMPUTED_VALUE"""),0.0)</f>
        <v>0</v>
      </c>
      <c r="J41" s="158">
        <f>IFERROR(__xludf.DUMMYFUNCTION("""COMPUTED_VALUE"""),9.0)</f>
        <v>9</v>
      </c>
      <c r="K41" s="157"/>
      <c r="L41" s="160">
        <f>IFERROR(__xludf.DUMMYFUNCTION("""COMPUTED_VALUE"""),9.0)</f>
        <v>9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>
        <f>IFERROR(__xludf.DUMMYFUNCTION("""COMPUTED_VALUE"""),8.0)</f>
        <v>8</v>
      </c>
      <c r="F42" s="155">
        <f>IFERROR(__xludf.DUMMYFUNCTION("""COMPUTED_VALUE"""),1.2)</f>
        <v>1.2</v>
      </c>
      <c r="G42" s="155"/>
      <c r="H42" s="156">
        <f>IFERROR(__xludf.DUMMYFUNCTION("""COMPUTED_VALUE"""),9.2)</f>
        <v>9.2</v>
      </c>
      <c r="I42" s="157">
        <f>IFERROR(__xludf.DUMMYFUNCTION("""COMPUTED_VALUE"""),0.0)</f>
        <v>0</v>
      </c>
      <c r="J42" s="158">
        <f>IFERROR(__xludf.DUMMYFUNCTION("""COMPUTED_VALUE"""),9.0)</f>
        <v>9</v>
      </c>
      <c r="K42" s="157"/>
      <c r="L42" s="160">
        <f>IFERROR(__xludf.DUMMYFUNCTION("""COMPUTED_VALUE"""),9.0)</f>
        <v>9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>
        <f>IFERROR(__xludf.DUMMYFUNCTION("""COMPUTED_VALUE"""),8.8)</f>
        <v>8.8</v>
      </c>
      <c r="F43" s="155">
        <f>IFERROR(__xludf.DUMMYFUNCTION("""COMPUTED_VALUE"""),2.0)</f>
        <v>2</v>
      </c>
      <c r="G43" s="155"/>
      <c r="H43" s="156">
        <f>IFERROR(__xludf.DUMMYFUNCTION("""COMPUTED_VALUE"""),10.8)</f>
        <v>10.8</v>
      </c>
      <c r="I43" s="157">
        <f>IFERROR(__xludf.DUMMYFUNCTION("""COMPUTED_VALUE"""),0.0)</f>
        <v>0</v>
      </c>
      <c r="J43" s="158">
        <f>IFERROR(__xludf.DUMMYFUNCTION("""COMPUTED_VALUE"""),10.0)</f>
        <v>10</v>
      </c>
      <c r="K43" s="157"/>
      <c r="L43" s="160">
        <f>IFERROR(__xludf.DUMMYFUNCTION("""COMPUTED_VALUE"""),11.0)</f>
        <v>11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155">
        <f>IFERROR(__xludf.DUMMYFUNCTION("""COMPUTED_VALUE"""),7.5)</f>
        <v>7.5</v>
      </c>
      <c r="F44" s="155">
        <f>IFERROR(__xludf.DUMMYFUNCTION("""COMPUTED_VALUE"""),1.8)</f>
        <v>1.8</v>
      </c>
      <c r="G44" s="155"/>
      <c r="H44" s="156">
        <f>IFERROR(__xludf.DUMMYFUNCTION("""COMPUTED_VALUE"""),9.3)</f>
        <v>9.3</v>
      </c>
      <c r="I44" s="157">
        <f>IFERROR(__xludf.DUMMYFUNCTION("""COMPUTED_VALUE"""),0.0)</f>
        <v>0</v>
      </c>
      <c r="J44" s="158">
        <f>IFERROR(__xludf.DUMMYFUNCTION("""COMPUTED_VALUE"""),9.0)</f>
        <v>9</v>
      </c>
      <c r="K44" s="157"/>
      <c r="L44" s="160">
        <f>IFERROR(__xludf.DUMMYFUNCTION("""COMPUTED_VALUE"""),9.0)</f>
        <v>9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155">
        <f>IFERROR(__xludf.DUMMYFUNCTION("""COMPUTED_VALUE"""),6.5)</f>
        <v>6.5</v>
      </c>
      <c r="F45" s="155">
        <f>IFERROR(__xludf.DUMMYFUNCTION("""COMPUTED_VALUE"""),1.4)</f>
        <v>1.4</v>
      </c>
      <c r="G45" s="155"/>
      <c r="H45" s="156">
        <f>IFERROR(__xludf.DUMMYFUNCTION("""COMPUTED_VALUE"""),7.9)</f>
        <v>7.9</v>
      </c>
      <c r="I45" s="157">
        <f>IFERROR(__xludf.DUMMYFUNCTION("""COMPUTED_VALUE"""),2.0)</f>
        <v>2</v>
      </c>
      <c r="J45" s="158">
        <f>IFERROR(__xludf.DUMMYFUNCTION("""COMPUTED_VALUE"""),8.0)</f>
        <v>8</v>
      </c>
      <c r="K45" s="157"/>
      <c r="L45" s="160">
        <f>IFERROR(__xludf.DUMMYFUNCTION("""COMPUTED_VALUE"""),8.0)</f>
        <v>8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155">
        <f>IFERROR(__xludf.DUMMYFUNCTION("""COMPUTED_VALUE"""),2.0)</f>
        <v>2</v>
      </c>
      <c r="F46" s="155">
        <f>IFERROR(__xludf.DUMMYFUNCTION("""COMPUTED_VALUE"""),1.4)</f>
        <v>1.4</v>
      </c>
      <c r="G46" s="155"/>
      <c r="H46" s="156">
        <f>IFERROR(__xludf.DUMMYFUNCTION("""COMPUTED_VALUE"""),3.4)</f>
        <v>3.4</v>
      </c>
      <c r="I46" s="157">
        <f>IFERROR(__xludf.DUMMYFUNCTION("""COMPUTED_VALUE"""),2.0)</f>
        <v>2</v>
      </c>
      <c r="J46" s="158">
        <f>IFERROR(__xludf.DUMMYFUNCTION("""COMPUTED_VALUE"""),5.0)</f>
        <v>5</v>
      </c>
      <c r="K46" s="157"/>
      <c r="L46" s="160">
        <f>IFERROR(__xludf.DUMMYFUNCTION("""COMPUTED_VALUE"""),3.0)</f>
        <v>3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155">
        <f>IFERROR(__xludf.DUMMYFUNCTION("""COMPUTED_VALUE"""),8.0)</f>
        <v>8</v>
      </c>
      <c r="F47" s="155">
        <f>IFERROR(__xludf.DUMMYFUNCTION("""COMPUTED_VALUE"""),2.0)</f>
        <v>2</v>
      </c>
      <c r="G47" s="155"/>
      <c r="H47" s="156">
        <f>IFERROR(__xludf.DUMMYFUNCTION("""COMPUTED_VALUE"""),10.0)</f>
        <v>10</v>
      </c>
      <c r="I47" s="157">
        <f>IFERROR(__xludf.DUMMYFUNCTION("""COMPUTED_VALUE"""),0.0)</f>
        <v>0</v>
      </c>
      <c r="J47" s="158">
        <f>IFERROR(__xludf.DUMMYFUNCTION("""COMPUTED_VALUE"""),10.0)</f>
        <v>10</v>
      </c>
      <c r="K47" s="157"/>
      <c r="L47" s="160">
        <f>IFERROR(__xludf.DUMMYFUNCTION("""COMPUTED_VALUE"""),10.0)</f>
        <v>10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155">
        <f>IFERROR(__xludf.DUMMYFUNCTION("""COMPUTED_VALUE"""),7.8)</f>
        <v>7.8</v>
      </c>
      <c r="F48" s="155">
        <f>IFERROR(__xludf.DUMMYFUNCTION("""COMPUTED_VALUE"""),2.0)</f>
        <v>2</v>
      </c>
      <c r="G48" s="155"/>
      <c r="H48" s="156">
        <f>IFERROR(__xludf.DUMMYFUNCTION("""COMPUTED_VALUE"""),9.8)</f>
        <v>9.8</v>
      </c>
      <c r="I48" s="157">
        <f>IFERROR(__xludf.DUMMYFUNCTION("""COMPUTED_VALUE"""),0.0)</f>
        <v>0</v>
      </c>
      <c r="J48" s="158">
        <f>IFERROR(__xludf.DUMMYFUNCTION("""COMPUTED_VALUE"""),10.0)</f>
        <v>10</v>
      </c>
      <c r="K48" s="157"/>
      <c r="L48" s="160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155">
        <f>IFERROR(__xludf.DUMMYFUNCTION("""COMPUTED_VALUE"""),8.0)</f>
        <v>8</v>
      </c>
      <c r="F49" s="155">
        <f>IFERROR(__xludf.DUMMYFUNCTION("""COMPUTED_VALUE"""),2.0)</f>
        <v>2</v>
      </c>
      <c r="G49" s="155"/>
      <c r="H49" s="156">
        <f>IFERROR(__xludf.DUMMYFUNCTION("""COMPUTED_VALUE"""),10.0)</f>
        <v>10</v>
      </c>
      <c r="I49" s="157">
        <f>IFERROR(__xludf.DUMMYFUNCTION("""COMPUTED_VALUE"""),0.0)</f>
        <v>0</v>
      </c>
      <c r="J49" s="158">
        <f>IFERROR(__xludf.DUMMYFUNCTION("""COMPUTED_VALUE"""),10.0)</f>
        <v>10</v>
      </c>
      <c r="K49" s="157"/>
      <c r="L49" s="160">
        <f>IFERROR(__xludf.DUMMYFUNCTION("""COMPUTED_VALUE"""),10.0)</f>
        <v>10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155">
        <f>IFERROR(__xludf.DUMMYFUNCTION("""COMPUTED_VALUE"""),8.0)</f>
        <v>8</v>
      </c>
      <c r="F50" s="155">
        <f>IFERROR(__xludf.DUMMYFUNCTION("""COMPUTED_VALUE"""),2.0)</f>
        <v>2</v>
      </c>
      <c r="G50" s="155"/>
      <c r="H50" s="156">
        <f>IFERROR(__xludf.DUMMYFUNCTION("""COMPUTED_VALUE"""),10.0)</f>
        <v>10</v>
      </c>
      <c r="I50" s="157">
        <f>IFERROR(__xludf.DUMMYFUNCTION("""COMPUTED_VALUE"""),0.0)</f>
        <v>0</v>
      </c>
      <c r="J50" s="158">
        <f>IFERROR(__xludf.DUMMYFUNCTION("""COMPUTED_VALUE"""),10.0)</f>
        <v>10</v>
      </c>
      <c r="K50" s="157"/>
      <c r="L50" s="160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155">
        <f>IFERROR(__xludf.DUMMYFUNCTION("""COMPUTED_VALUE"""),6.0)</f>
        <v>6</v>
      </c>
      <c r="F51" s="155">
        <f>IFERROR(__xludf.DUMMYFUNCTION("""COMPUTED_VALUE"""),1.8)</f>
        <v>1.8</v>
      </c>
      <c r="G51" s="155"/>
      <c r="H51" s="156">
        <f>IFERROR(__xludf.DUMMYFUNCTION("""COMPUTED_VALUE"""),7.8)</f>
        <v>7.8</v>
      </c>
      <c r="I51" s="157">
        <f>IFERROR(__xludf.DUMMYFUNCTION("""COMPUTED_VALUE"""),0.0)</f>
        <v>0</v>
      </c>
      <c r="J51" s="158">
        <f>IFERROR(__xludf.DUMMYFUNCTION("""COMPUTED_VALUE"""),8.0)</f>
        <v>8</v>
      </c>
      <c r="K51" s="157"/>
      <c r="L51" s="161">
        <f>IFERROR(__xludf.DUMMYFUNCTION("""COMPUTED_VALUE"""),8.0)</f>
        <v>8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155">
        <f>IFERROR(__xludf.DUMMYFUNCTION("""COMPUTED_VALUE"""),7.0)</f>
        <v>7</v>
      </c>
      <c r="F52" s="155">
        <f>IFERROR(__xludf.DUMMYFUNCTION("""COMPUTED_VALUE"""),2.0)</f>
        <v>2</v>
      </c>
      <c r="G52" s="155"/>
      <c r="H52" s="156">
        <f>IFERROR(__xludf.DUMMYFUNCTION("""COMPUTED_VALUE"""),9.0)</f>
        <v>9</v>
      </c>
      <c r="I52" s="157">
        <f>IFERROR(__xludf.DUMMYFUNCTION("""COMPUTED_VALUE"""),0.0)</f>
        <v>0</v>
      </c>
      <c r="J52" s="158">
        <f>IFERROR(__xludf.DUMMYFUNCTION("""COMPUTED_VALUE"""),9.0)</f>
        <v>9</v>
      </c>
      <c r="K52" s="157"/>
      <c r="L52" s="161">
        <f>IFERROR(__xludf.DUMMYFUNCTION("""COMPUTED_VALUE"""),9.0)</f>
        <v>9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155">
        <f>IFERROR(__xludf.DUMMYFUNCTION("""COMPUTED_VALUE"""),6.0)</f>
        <v>6</v>
      </c>
      <c r="F53" s="155">
        <f>IFERROR(__xludf.DUMMYFUNCTION("""COMPUTED_VALUE"""),1.7)</f>
        <v>1.7</v>
      </c>
      <c r="G53" s="155"/>
      <c r="H53" s="156">
        <f>IFERROR(__xludf.DUMMYFUNCTION("""COMPUTED_VALUE"""),7.7)</f>
        <v>7.7</v>
      </c>
      <c r="I53" s="157">
        <f>IFERROR(__xludf.DUMMYFUNCTION("""COMPUTED_VALUE"""),0.0)</f>
        <v>0</v>
      </c>
      <c r="J53" s="158">
        <f>IFERROR(__xludf.DUMMYFUNCTION("""COMPUTED_VALUE"""),8.0)</f>
        <v>8</v>
      </c>
      <c r="K53" s="157"/>
      <c r="L53" s="161">
        <f>IFERROR(__xludf.DUMMYFUNCTION("""COMPUTED_VALUE"""),8.0)</f>
        <v>8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155">
        <f>IFERROR(__xludf.DUMMYFUNCTION("""COMPUTED_VALUE"""),5.8)</f>
        <v>5.8</v>
      </c>
      <c r="F54" s="155">
        <f>IFERROR(__xludf.DUMMYFUNCTION("""COMPUTED_VALUE"""),1.8)</f>
        <v>1.8</v>
      </c>
      <c r="G54" s="155"/>
      <c r="H54" s="156">
        <f>IFERROR(__xludf.DUMMYFUNCTION("""COMPUTED_VALUE"""),7.6)</f>
        <v>7.6</v>
      </c>
      <c r="I54" s="162">
        <f>IFERROR(__xludf.DUMMYFUNCTION("""COMPUTED_VALUE"""),0.0)</f>
        <v>0</v>
      </c>
      <c r="J54" s="158">
        <f>IFERROR(__xludf.DUMMYFUNCTION("""COMPUTED_VALUE"""),8.0)</f>
        <v>8</v>
      </c>
      <c r="K54" s="157"/>
      <c r="L54" s="161">
        <f>IFERROR(__xludf.DUMMYFUNCTION("""COMPUTED_VALUE"""),8.0)</f>
        <v>8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155">
        <f>IFERROR(__xludf.DUMMYFUNCTION("""COMPUTED_VALUE"""),7.5)</f>
        <v>7.5</v>
      </c>
      <c r="F55" s="155">
        <f>IFERROR(__xludf.DUMMYFUNCTION("""COMPUTED_VALUE"""),2.0)</f>
        <v>2</v>
      </c>
      <c r="G55" s="155"/>
      <c r="H55" s="156">
        <f>IFERROR(__xludf.DUMMYFUNCTION("""COMPUTED_VALUE"""),9.5)</f>
        <v>9.5</v>
      </c>
      <c r="I55" s="162">
        <f>IFERROR(__xludf.DUMMYFUNCTION("""COMPUTED_VALUE"""),0.0)</f>
        <v>0</v>
      </c>
      <c r="J55" s="158">
        <f>IFERROR(__xludf.DUMMYFUNCTION("""COMPUTED_VALUE"""),10.0)</f>
        <v>10</v>
      </c>
      <c r="K55" s="157"/>
      <c r="L55" s="161">
        <f>IFERROR(__xludf.DUMMYFUNCTION("""COMPUTED_VALUE"""),10.0)</f>
        <v>10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155">
        <f>IFERROR(__xludf.DUMMYFUNCTION("""COMPUTED_VALUE"""),7.5)</f>
        <v>7.5</v>
      </c>
      <c r="F56" s="155">
        <f>IFERROR(__xludf.DUMMYFUNCTION("""COMPUTED_VALUE"""),2.0)</f>
        <v>2</v>
      </c>
      <c r="G56" s="155"/>
      <c r="H56" s="156">
        <f>IFERROR(__xludf.DUMMYFUNCTION("""COMPUTED_VALUE"""),9.5)</f>
        <v>9.5</v>
      </c>
      <c r="I56" s="162">
        <f>IFERROR(__xludf.DUMMYFUNCTION("""COMPUTED_VALUE"""),0.0)</f>
        <v>0</v>
      </c>
      <c r="J56" s="158">
        <f>IFERROR(__xludf.DUMMYFUNCTION("""COMPUTED_VALUE"""),10.0)</f>
        <v>10</v>
      </c>
      <c r="K56" s="157"/>
      <c r="L56" s="161">
        <f>IFERROR(__xludf.DUMMYFUNCTION("""COMPUTED_VALUE"""),10.0)</f>
        <v>10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155">
        <f>IFERROR(__xludf.DUMMYFUNCTION("""COMPUTED_VALUE"""),6.0)</f>
        <v>6</v>
      </c>
      <c r="F57" s="155">
        <f>IFERROR(__xludf.DUMMYFUNCTION("""COMPUTED_VALUE"""),1.6)</f>
        <v>1.6</v>
      </c>
      <c r="G57" s="155"/>
      <c r="H57" s="156">
        <f>IFERROR(__xludf.DUMMYFUNCTION("""COMPUTED_VALUE"""),7.6)</f>
        <v>7.6</v>
      </c>
      <c r="I57" s="162">
        <f>IFERROR(__xludf.DUMMYFUNCTION("""COMPUTED_VALUE"""),0.0)</f>
        <v>0</v>
      </c>
      <c r="J57" s="158">
        <f>IFERROR(__xludf.DUMMYFUNCTION("""COMPUTED_VALUE"""),8.0)</f>
        <v>8</v>
      </c>
      <c r="K57" s="157"/>
      <c r="L57" s="161">
        <f>IFERROR(__xludf.DUMMYFUNCTION("""COMPUTED_VALUE"""),8.0)</f>
        <v>8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155">
        <f>IFERROR(__xludf.DUMMYFUNCTION("""COMPUTED_VALUE"""),6.7)</f>
        <v>6.7</v>
      </c>
      <c r="F58" s="155">
        <f>IFERROR(__xludf.DUMMYFUNCTION("""COMPUTED_VALUE"""),2.0)</f>
        <v>2</v>
      </c>
      <c r="G58" s="155"/>
      <c r="H58" s="156">
        <f>IFERROR(__xludf.DUMMYFUNCTION("""COMPUTED_VALUE"""),8.7)</f>
        <v>8.7</v>
      </c>
      <c r="I58" s="162">
        <f>IFERROR(__xludf.DUMMYFUNCTION("""COMPUTED_VALUE"""),2.0)</f>
        <v>2</v>
      </c>
      <c r="J58" s="158">
        <f>IFERROR(__xludf.DUMMYFUNCTION("""COMPUTED_VALUE"""),9.0)</f>
        <v>9</v>
      </c>
      <c r="K58" s="157"/>
      <c r="L58" s="161">
        <f>IFERROR(__xludf.DUMMYFUNCTION("""COMPUTED_VALUE"""),9.0)</f>
        <v>9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155">
        <f>IFERROR(__xludf.DUMMYFUNCTION("""COMPUTED_VALUE"""),7.3)</f>
        <v>7.3</v>
      </c>
      <c r="F59" s="155">
        <f>IFERROR(__xludf.DUMMYFUNCTION("""COMPUTED_VALUE"""),1.4)</f>
        <v>1.4</v>
      </c>
      <c r="G59" s="155"/>
      <c r="H59" s="156">
        <f>IFERROR(__xludf.DUMMYFUNCTION("""COMPUTED_VALUE"""),8.7)</f>
        <v>8.7</v>
      </c>
      <c r="I59" s="162">
        <f>IFERROR(__xludf.DUMMYFUNCTION("""COMPUTED_VALUE"""),0.0)</f>
        <v>0</v>
      </c>
      <c r="J59" s="158">
        <f>IFERROR(__xludf.DUMMYFUNCTION("""COMPUTED_VALUE"""),9.0)</f>
        <v>9</v>
      </c>
      <c r="K59" s="157"/>
      <c r="L59" s="161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155">
        <f>IFERROR(__xludf.DUMMYFUNCTION("""COMPUTED_VALUE"""),7.3)</f>
        <v>7.3</v>
      </c>
      <c r="F60" s="155">
        <f>IFERROR(__xludf.DUMMYFUNCTION("""COMPUTED_VALUE"""),0.9)</f>
        <v>0.9</v>
      </c>
      <c r="G60" s="155"/>
      <c r="H60" s="156">
        <f>IFERROR(__xludf.DUMMYFUNCTION("""COMPUTED_VALUE"""),8.2)</f>
        <v>8.2</v>
      </c>
      <c r="I60" s="162">
        <f>IFERROR(__xludf.DUMMYFUNCTION("""COMPUTED_VALUE"""),0.0)</f>
        <v>0</v>
      </c>
      <c r="J60" s="158">
        <f>IFERROR(__xludf.DUMMYFUNCTION("""COMPUTED_VALUE"""),8.0)</f>
        <v>8</v>
      </c>
      <c r="K60" s="157"/>
      <c r="L60" s="161">
        <f>IFERROR(__xludf.DUMMYFUNCTION("""COMPUTED_VALUE"""),8.0)</f>
        <v>8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155">
        <f>IFERROR(__xludf.DUMMYFUNCTION("""COMPUTED_VALUE"""),7.3)</f>
        <v>7.3</v>
      </c>
      <c r="F61" s="155">
        <f>IFERROR(__xludf.DUMMYFUNCTION("""COMPUTED_VALUE"""),1.7)</f>
        <v>1.7</v>
      </c>
      <c r="G61" s="155"/>
      <c r="H61" s="156">
        <f>IFERROR(__xludf.DUMMYFUNCTION("""COMPUTED_VALUE"""),9.0)</f>
        <v>9</v>
      </c>
      <c r="I61" s="162">
        <f>IFERROR(__xludf.DUMMYFUNCTION("""COMPUTED_VALUE"""),0.0)</f>
        <v>0</v>
      </c>
      <c r="J61" s="158">
        <f>IFERROR(__xludf.DUMMYFUNCTION("""COMPUTED_VALUE"""),9.0)</f>
        <v>9</v>
      </c>
      <c r="K61" s="157"/>
      <c r="L61" s="161">
        <f>IFERROR(__xludf.DUMMYFUNCTION("""COMPUTED_VALUE"""),9.0)</f>
        <v>9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155">
        <f>IFERROR(__xludf.DUMMYFUNCTION("""COMPUTED_VALUE"""),8.0)</f>
        <v>8</v>
      </c>
      <c r="F62" s="155">
        <f>IFERROR(__xludf.DUMMYFUNCTION("""COMPUTED_VALUE"""),2.0)</f>
        <v>2</v>
      </c>
      <c r="G62" s="155"/>
      <c r="H62" s="156">
        <f>IFERROR(__xludf.DUMMYFUNCTION("""COMPUTED_VALUE"""),10.0)</f>
        <v>10</v>
      </c>
      <c r="I62" s="162">
        <f>IFERROR(__xludf.DUMMYFUNCTION("""COMPUTED_VALUE"""),0.0)</f>
        <v>0</v>
      </c>
      <c r="J62" s="158">
        <f>IFERROR(__xludf.DUMMYFUNCTION("""COMPUTED_VALUE"""),10.0)</f>
        <v>10</v>
      </c>
      <c r="K62" s="157"/>
      <c r="L62" s="161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155">
        <f>IFERROR(__xludf.DUMMYFUNCTION("""COMPUTED_VALUE"""),8.0)</f>
        <v>8</v>
      </c>
      <c r="F63" s="155">
        <f>IFERROR(__xludf.DUMMYFUNCTION("""COMPUTED_VALUE"""),1.8)</f>
        <v>1.8</v>
      </c>
      <c r="G63" s="155"/>
      <c r="H63" s="156">
        <f>IFERROR(__xludf.DUMMYFUNCTION("""COMPUTED_VALUE"""),9.8)</f>
        <v>9.8</v>
      </c>
      <c r="I63" s="162">
        <f>IFERROR(__xludf.DUMMYFUNCTION("""COMPUTED_VALUE"""),0.0)</f>
        <v>0</v>
      </c>
      <c r="J63" s="158">
        <f>IFERROR(__xludf.DUMMYFUNCTION("""COMPUTED_VALUE"""),10.0)</f>
        <v>10</v>
      </c>
      <c r="K63" s="157"/>
      <c r="L63" s="161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/>
      <c r="B64" s="163"/>
      <c r="C64" s="163"/>
      <c r="D64" s="127"/>
      <c r="E64" s="164"/>
      <c r="F64" s="164"/>
      <c r="G64" s="164"/>
      <c r="H64" s="164"/>
      <c r="I64" s="132"/>
      <c r="J64" s="165"/>
      <c r="K64" s="128"/>
      <c r="L64" s="165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 t="str">
        <f>IFERROR(__xludf.DUMMYFUNCTION("""COMPUTED_VALUE"""),"No. DE ALUMNOS INSCRITOS")</f>
        <v>No. DE ALUMNOS INSCRITOS</v>
      </c>
      <c r="C65" s="74"/>
      <c r="D65" s="167">
        <f>IFERROR(__xludf.DUMMYFUNCTION("""COMPUTED_VALUE"""),47.0)</f>
        <v>47</v>
      </c>
      <c r="E65" s="164"/>
      <c r="F65" s="168" t="str">
        <f>IFERROR(__xludf.DUMMYFUNCTION("""COMPUTED_VALUE"""),"FIRMA DEL PROFESOR")</f>
        <v>FIRMA DEL PROFESOR</v>
      </c>
      <c r="G65" s="164"/>
      <c r="H65" s="168" t="str">
        <f>IFERROR(__xludf.DUMMYFUNCTION("""COMPUTED_VALUE"""),"FIRMA DEL ORIENTADOR")</f>
        <v>FIRMA DEL ORIENTADOR</v>
      </c>
      <c r="J65" s="169" t="str">
        <f>IFERROR(__xludf.DUMMYFUNCTION("""COMPUTED_VALUE"""),"Vo. Bo. SUBDIRECCIÓN ESCOLAR")</f>
        <v>Vo. Bo. SUBDIRECCIÓN ESCOLAR</v>
      </c>
      <c r="K65" s="170" t="str">
        <f>IFERROR(__xludf.DUMMYFUNCTION("""COMPUTED_VALUE"""),"REVISADO POR SECRETARIA ESCOLAR ")</f>
        <v>REVISADO POR SECRETARIA ESCOLAR </v>
      </c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IFERROR(__xludf.DUMMYFUNCTION("""COMPUTED_VALUE"""),"BAJAS DURANTE EL SEMESTRE")</f>
        <v>BAJAS DURANTE EL SEMESTRE</v>
      </c>
      <c r="C66" s="81"/>
      <c r="D66" s="172">
        <f>IFERROR(__xludf.DUMMYFUNCTION("""COMPUTED_VALUE"""),0.0)</f>
        <v>0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IFERROR(__xludf.DUMMYFUNCTION("""COMPUTED_VALUE"""),"EXISTENCIA")</f>
        <v>EXISTENCIA</v>
      </c>
      <c r="C67" s="81"/>
      <c r="D67" s="173">
        <f>IFERROR(__xludf.DUMMYFUNCTION("""COMPUTED_VALUE"""),47.0)</f>
        <v>47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IFERROR(__xludf.DUMMYFUNCTION("""COMPUTED_VALUE"""),"No. DE ALUMNOS APROBADOS")</f>
        <v>No. DE ALUMNOS APROBADOS</v>
      </c>
      <c r="C68" s="81"/>
      <c r="D68" s="174">
        <f>IFERROR(__xludf.DUMMYFUNCTION("""COMPUTED_VALUE"""),44.0)</f>
        <v>44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REPROBADOS")</f>
        <v>No. DE ALUMNOS REPROBADOS</v>
      </c>
      <c r="C69" s="81"/>
      <c r="D69" s="174">
        <f>IFERROR(__xludf.DUMMYFUNCTION("""COMPUTED_VALUE"""),3.0)</f>
        <v>3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IFERROR(__xludf.DUMMYFUNCTION("""COMPUTED_VALUE"""),"% DE APROBADOS")</f>
        <v>% DE APROBADOS</v>
      </c>
      <c r="C70" s="81"/>
      <c r="D70" s="179">
        <f>IFERROR(__xludf.DUMMYFUNCTION("""COMPUTED_VALUE"""),93.61702127659575)</f>
        <v>93.61702128</v>
      </c>
      <c r="E70" s="127"/>
      <c r="F70" s="180" t="str">
        <f>IFERROR(__xludf.DUMMYFUNCTION("""COMPUTED_VALUE"""),"PROFR. ")</f>
        <v>PROFR. </v>
      </c>
      <c r="G70" s="130"/>
      <c r="H70" s="95" t="str">
        <f>IFERROR(__xludf.DUMMYFUNCTION("""COMPUTED_VALUE"""),"PROFRA. ANA ISABEL CORREA SALGADO")</f>
        <v>PROFRA. ANA ISABEL CORREA SALGADO</v>
      </c>
      <c r="J70" s="181" t="str">
        <f>IFERROR(__xludf.DUMMYFUNCTION("""COMPUTED_VALUE"""),"PROFR. OCTAVIO VÁZQUEZ BARRETO")</f>
        <v>PROFR. OCTAVIO VÁZQUEZ BARRETO</v>
      </c>
      <c r="K70" s="182" t="str">
        <f>IFERROR(__xludf.DUMMYFUNCTION("""COMPUTED_VALUE"""),"PROFR. ROBERTO PALOMARES MEJÍA ")</f>
        <v>PROFR. ROBERTO PALOMARES MEJÍA 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183" t="str">
        <f>IFERROR(__xludf.DUMMYFUNCTION("""COMPUTED_VALUE"""),"PROMEDIO")</f>
        <v>PROMEDIO</v>
      </c>
      <c r="C71" s="100"/>
      <c r="D71" s="184">
        <f>IFERROR(__xludf.DUMMYFUNCTION("""COMPUTED_VALUE"""),8.659574468085106)</f>
        <v>8.659574468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/>
      <c r="C72" s="121"/>
      <c r="D72" s="121"/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IFERROR(__xludf.DUMMYFUNCTION("IMPORTRANGE(""https://docs.google.com/spreadsheets/d/1prqMvrRR3aSuNpt6LTQl6bgrnmhYQ4iy8cVbKJYKsv0/edit?gid=868681460#gid=868681460"",""2-1 educacion integral en sexualidad y genero ii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204" t="str">
        <f>IFERROR(__xludf.DUMMYFUNCTION("""COMPUTED_VALUE"""),"RICARDO CHAPARRO")</f>
        <v>RICARDO CHAPARRO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IFERROR(__xludf.DUMMYFUNCTION("""COMPUTED_VALUE"""),"EDUCACIÓN INTEGRAL EN SEXUALIDAD Y GÉNERO II")</f>
        <v>EDUCACIÓN INTEGRAL EN SEXUALIDAD Y GÉNERO II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>
        <f>IFERROR(__xludf.DUMMYFUNCTION("""COMPUTED_VALUE"""),8.0)</f>
        <v>8</v>
      </c>
      <c r="F17" s="155">
        <f>IFERROR(__xludf.DUMMYFUNCTION("""COMPUTED_VALUE"""),1.0)</f>
        <v>1</v>
      </c>
      <c r="G17" s="155"/>
      <c r="H17" s="156">
        <f>IFERROR(__xludf.DUMMYFUNCTION("""COMPUTED_VALUE"""),9.0)</f>
        <v>9</v>
      </c>
      <c r="I17" s="157">
        <f>IFERROR(__xludf.DUMMYFUNCTION("""COMPUTED_VALUE"""),0.0)</f>
        <v>0</v>
      </c>
      <c r="J17" s="158">
        <f>IFERROR(__xludf.DUMMYFUNCTION("""COMPUTED_VALUE"""),9.0)</f>
        <v>9</v>
      </c>
      <c r="K17" s="159"/>
      <c r="L17" s="160">
        <f>IFERROR(__xludf.DUMMYFUNCTION("""COMPUTED_VALUE"""),9.0)</f>
        <v>9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>
        <f>IFERROR(__xludf.DUMMYFUNCTION("""COMPUTED_VALUE"""),6.0)</f>
        <v>6</v>
      </c>
      <c r="F18" s="155">
        <f>IFERROR(__xludf.DUMMYFUNCTION("""COMPUTED_VALUE"""),2.0)</f>
        <v>2</v>
      </c>
      <c r="G18" s="155"/>
      <c r="H18" s="156">
        <f>IFERROR(__xludf.DUMMYFUNCTION("""COMPUTED_VALUE"""),8.0)</f>
        <v>8</v>
      </c>
      <c r="I18" s="157">
        <f>IFERROR(__xludf.DUMMYFUNCTION("""COMPUTED_VALUE"""),0.0)</f>
        <v>0</v>
      </c>
      <c r="J18" s="158">
        <f>IFERROR(__xludf.DUMMYFUNCTION("""COMPUTED_VALUE"""),8.0)</f>
        <v>8</v>
      </c>
      <c r="K18" s="157"/>
      <c r="L18" s="160">
        <f>IFERROR(__xludf.DUMMYFUNCTION("""COMPUTED_VALUE"""),8.0)</f>
        <v>8</v>
      </c>
      <c r="M18" s="121" t="str">
        <f>IFERROR(__xludf.DUMMYFUNCTION("""COMPUTED_VALUE"""),"Febrero")</f>
        <v>Febrero</v>
      </c>
      <c r="N18" s="121">
        <f>IFERROR(__xludf.DUMMYFUNCTION("""COMPUTED_VALUE"""),3.0)</f>
        <v>3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>
        <f>IFERROR(__xludf.DUMMYFUNCTION("""COMPUTED_VALUE"""),8.0)</f>
        <v>8</v>
      </c>
      <c r="F19" s="155">
        <f>IFERROR(__xludf.DUMMYFUNCTION("""COMPUTED_VALUE"""),2.0)</f>
        <v>2</v>
      </c>
      <c r="G19" s="155">
        <f>IFERROR(__xludf.DUMMYFUNCTION("""COMPUTED_VALUE"""),0.1)</f>
        <v>0.1</v>
      </c>
      <c r="H19" s="156">
        <f>IFERROR(__xludf.DUMMYFUNCTION("""COMPUTED_VALUE"""),10.1)</f>
        <v>10.1</v>
      </c>
      <c r="I19" s="157">
        <f>IFERROR(__xludf.DUMMYFUNCTION("""COMPUTED_VALUE"""),0.0)</f>
        <v>0</v>
      </c>
      <c r="J19" s="158">
        <f>IFERROR(__xludf.DUMMYFUNCTION("""COMPUTED_VALUE"""),10.0)</f>
        <v>10</v>
      </c>
      <c r="K19" s="157"/>
      <c r="L19" s="160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IFERROR(__xludf.DUMMYFUNCTION("""COMPUTED_VALUE"""),4.0)</f>
        <v>4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>
        <f>IFERROR(__xludf.DUMMYFUNCTION("""COMPUTED_VALUE"""),8.0)</f>
        <v>8</v>
      </c>
      <c r="F20" s="155">
        <f>IFERROR(__xludf.DUMMYFUNCTION("""COMPUTED_VALUE"""),2.0)</f>
        <v>2</v>
      </c>
      <c r="G20" s="155">
        <f>IFERROR(__xludf.DUMMYFUNCTION("""COMPUTED_VALUE"""),0.1)</f>
        <v>0.1</v>
      </c>
      <c r="H20" s="156">
        <f>IFERROR(__xludf.DUMMYFUNCTION("""COMPUTED_VALUE"""),10.1)</f>
        <v>10.1</v>
      </c>
      <c r="I20" s="157">
        <f>IFERROR(__xludf.DUMMYFUNCTION("""COMPUTED_VALUE"""),0.0)</f>
        <v>0</v>
      </c>
      <c r="J20" s="158">
        <f>IFERROR(__xludf.DUMMYFUNCTION("""COMPUTED_VALUE"""),10.0)</f>
        <v>10</v>
      </c>
      <c r="K20" s="157"/>
      <c r="L20" s="160">
        <f>IFERROR(__xludf.DUMMYFUNCTION("""COMPUTED_VALUE"""),10.0)</f>
        <v>10</v>
      </c>
      <c r="M20" s="121" t="str">
        <f>IFERROR(__xludf.DUMMYFUNCTION("""COMPUTED_VALUE"""),"Abril")</f>
        <v>Abril</v>
      </c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>
        <f>IFERROR(__xludf.DUMMYFUNCTION("""COMPUTED_VALUE"""),8.0)</f>
        <v>8</v>
      </c>
      <c r="F21" s="155">
        <f>IFERROR(__xludf.DUMMYFUNCTION("""COMPUTED_VALUE"""),2.0)</f>
        <v>2</v>
      </c>
      <c r="G21" s="155"/>
      <c r="H21" s="156">
        <f>IFERROR(__xludf.DUMMYFUNCTION("""COMPUTED_VALUE"""),10.0)</f>
        <v>10</v>
      </c>
      <c r="I21" s="157">
        <f>IFERROR(__xludf.DUMMYFUNCTION("""COMPUTED_VALUE"""),0.0)</f>
        <v>0</v>
      </c>
      <c r="J21" s="158">
        <f>IFERROR(__xludf.DUMMYFUNCTION("""COMPUTED_VALUE"""),10.0)</f>
        <v>10</v>
      </c>
      <c r="K21" s="157"/>
      <c r="L21" s="160">
        <f>IFERROR(__xludf.DUMMYFUNCTION("""COMPUTED_VALUE"""),10.0)</f>
        <v>10</v>
      </c>
      <c r="M21" s="121" t="str">
        <f>IFERROR(__xludf.DUMMYFUNCTION("""COMPUTED_VALUE"""),"Mayo")</f>
        <v>Mayo</v>
      </c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>
        <f>IFERROR(__xludf.DUMMYFUNCTION("""COMPUTED_VALUE"""),8.0)</f>
        <v>8</v>
      </c>
      <c r="F22" s="155">
        <f>IFERROR(__xludf.DUMMYFUNCTION("""COMPUTED_VALUE"""),2.0)</f>
        <v>2</v>
      </c>
      <c r="G22" s="155"/>
      <c r="H22" s="156">
        <f>IFERROR(__xludf.DUMMYFUNCTION("""COMPUTED_VALUE"""),10.0)</f>
        <v>10</v>
      </c>
      <c r="I22" s="157">
        <f>IFERROR(__xludf.DUMMYFUNCTION("""COMPUTED_VALUE"""),0.0)</f>
        <v>0</v>
      </c>
      <c r="J22" s="158">
        <f>IFERROR(__xludf.DUMMYFUNCTION("""COMPUTED_VALUE"""),10.0)</f>
        <v>10</v>
      </c>
      <c r="K22" s="157"/>
      <c r="L22" s="160">
        <f>IFERROR(__xludf.DUMMYFUNCTION("""COMPUTED_VALUE"""),10.0)</f>
        <v>10</v>
      </c>
      <c r="M22" s="121" t="str">
        <f>IFERROR(__xludf.DUMMYFUNCTION("""COMPUTED_VALUE"""),"Junio")</f>
        <v>Junio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>
        <f>IFERROR(__xludf.DUMMYFUNCTION("""COMPUTED_VALUE"""),5.0)</f>
        <v>5</v>
      </c>
      <c r="F23" s="155">
        <f>IFERROR(__xludf.DUMMYFUNCTION("""COMPUTED_VALUE"""),2.0)</f>
        <v>2</v>
      </c>
      <c r="G23" s="155">
        <f>IFERROR(__xludf.DUMMYFUNCTION("""COMPUTED_VALUE"""),0.1)</f>
        <v>0.1</v>
      </c>
      <c r="H23" s="156">
        <f>IFERROR(__xludf.DUMMYFUNCTION("""COMPUTED_VALUE"""),7.1)</f>
        <v>7.1</v>
      </c>
      <c r="I23" s="157">
        <f>IFERROR(__xludf.DUMMYFUNCTION("""COMPUTED_VALUE"""),0.0)</f>
        <v>0</v>
      </c>
      <c r="J23" s="158">
        <f>IFERROR(__xludf.DUMMYFUNCTION("""COMPUTED_VALUE"""),7.0)</f>
        <v>7</v>
      </c>
      <c r="K23" s="157"/>
      <c r="L23" s="160">
        <f>IFERROR(__xludf.DUMMYFUNCTION("""COMPUTED_VALUE"""),7.0)</f>
        <v>7</v>
      </c>
      <c r="M23" s="121" t="str">
        <f>IFERROR(__xludf.DUMMYFUNCTION("""COMPUTED_VALUE"""),"Julio")</f>
        <v>Julio</v>
      </c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>
        <f>IFERROR(__xludf.DUMMYFUNCTION("""COMPUTED_VALUE"""),8.0)</f>
        <v>8</v>
      </c>
      <c r="F24" s="155">
        <f>IFERROR(__xludf.DUMMYFUNCTION("""COMPUTED_VALUE"""),2.0)</f>
        <v>2</v>
      </c>
      <c r="G24" s="155"/>
      <c r="H24" s="156">
        <f>IFERROR(__xludf.DUMMYFUNCTION("""COMPUTED_VALUE"""),10.0)</f>
        <v>10</v>
      </c>
      <c r="I24" s="157">
        <f>IFERROR(__xludf.DUMMYFUNCTION("""COMPUTED_VALUE"""),0.0)</f>
        <v>0</v>
      </c>
      <c r="J24" s="158">
        <f>IFERROR(__xludf.DUMMYFUNCTION("""COMPUTED_VALUE"""),10.0)</f>
        <v>10</v>
      </c>
      <c r="K24" s="157"/>
      <c r="L24" s="160">
        <f>IFERROR(__xludf.DUMMYFUNCTION("""COMPUTED_VALUE"""),10.0)</f>
        <v>10</v>
      </c>
      <c r="M24" s="121" t="str">
        <f>IFERROR(__xludf.DUMMYFUNCTION("""COMPUTED_VALUE"""),"TOTAL")</f>
        <v>TOTAL</v>
      </c>
      <c r="N24" s="121">
        <f>IFERROR(__xludf.DUMMYFUNCTION("""COMPUTED_VALUE"""),7.0)</f>
        <v>7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>
        <f>IFERROR(__xludf.DUMMYFUNCTION("""COMPUTED_VALUE"""),8.0)</f>
        <v>8</v>
      </c>
      <c r="F25" s="155">
        <f>IFERROR(__xludf.DUMMYFUNCTION("""COMPUTED_VALUE"""),1.0)</f>
        <v>1</v>
      </c>
      <c r="G25" s="155"/>
      <c r="H25" s="156">
        <f>IFERROR(__xludf.DUMMYFUNCTION("""COMPUTED_VALUE"""),9.0)</f>
        <v>9</v>
      </c>
      <c r="I25" s="157">
        <f>IFERROR(__xludf.DUMMYFUNCTION("""COMPUTED_VALUE"""),0.0)</f>
        <v>0</v>
      </c>
      <c r="J25" s="158">
        <f>IFERROR(__xludf.DUMMYFUNCTION("""COMPUTED_VALUE"""),9.0)</f>
        <v>9</v>
      </c>
      <c r="K25" s="157"/>
      <c r="L25" s="160">
        <f>IFERROR(__xludf.DUMMYFUNCTION("""COMPUTED_VALUE"""),9.0)</f>
        <v>9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>
        <f>IFERROR(__xludf.DUMMYFUNCTION("""COMPUTED_VALUE"""),5.0)</f>
        <v>5</v>
      </c>
      <c r="F26" s="155">
        <f>IFERROR(__xludf.DUMMYFUNCTION("""COMPUTED_VALUE"""),2.0)</f>
        <v>2</v>
      </c>
      <c r="G26" s="155"/>
      <c r="H26" s="156">
        <f>IFERROR(__xludf.DUMMYFUNCTION("""COMPUTED_VALUE"""),7.0)</f>
        <v>7</v>
      </c>
      <c r="I26" s="157">
        <f>IFERROR(__xludf.DUMMYFUNCTION("""COMPUTED_VALUE"""),0.0)</f>
        <v>0</v>
      </c>
      <c r="J26" s="158">
        <f>IFERROR(__xludf.DUMMYFUNCTION("""COMPUTED_VALUE"""),7.0)</f>
        <v>7</v>
      </c>
      <c r="K26" s="157"/>
      <c r="L26" s="160">
        <f>IFERROR(__xludf.DUMMYFUNCTION("""COMPUTED_VALUE"""),7.0)</f>
        <v>7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>
        <f>IFERROR(__xludf.DUMMYFUNCTION("""COMPUTED_VALUE"""),8.0)</f>
        <v>8</v>
      </c>
      <c r="F27" s="155">
        <f>IFERROR(__xludf.DUMMYFUNCTION("""COMPUTED_VALUE"""),2.0)</f>
        <v>2</v>
      </c>
      <c r="G27" s="155"/>
      <c r="H27" s="156">
        <f>IFERROR(__xludf.DUMMYFUNCTION("""COMPUTED_VALUE"""),10.0)</f>
        <v>10</v>
      </c>
      <c r="I27" s="157">
        <f>IFERROR(__xludf.DUMMYFUNCTION("""COMPUTED_VALUE"""),0.0)</f>
        <v>0</v>
      </c>
      <c r="J27" s="158">
        <f>IFERROR(__xludf.DUMMYFUNCTION("""COMPUTED_VALUE"""),10.0)</f>
        <v>10</v>
      </c>
      <c r="K27" s="157"/>
      <c r="L27" s="160">
        <f>IFERROR(__xludf.DUMMYFUNCTION("""COMPUTED_VALUE"""),10.0)</f>
        <v>10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>
        <f>IFERROR(__xludf.DUMMYFUNCTION("""COMPUTED_VALUE"""),8.0)</f>
        <v>8</v>
      </c>
      <c r="F28" s="155">
        <f>IFERROR(__xludf.DUMMYFUNCTION("""COMPUTED_VALUE"""),2.0)</f>
        <v>2</v>
      </c>
      <c r="G28" s="155"/>
      <c r="H28" s="156">
        <f>IFERROR(__xludf.DUMMYFUNCTION("""COMPUTED_VALUE"""),10.0)</f>
        <v>10</v>
      </c>
      <c r="I28" s="157">
        <f>IFERROR(__xludf.DUMMYFUNCTION("""COMPUTED_VALUE"""),0.0)</f>
        <v>0</v>
      </c>
      <c r="J28" s="158">
        <f>IFERROR(__xludf.DUMMYFUNCTION("""COMPUTED_VALUE"""),10.0)</f>
        <v>10</v>
      </c>
      <c r="K28" s="157"/>
      <c r="L28" s="160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>
        <f>IFERROR(__xludf.DUMMYFUNCTION("""COMPUTED_VALUE"""),5.0)</f>
        <v>5</v>
      </c>
      <c r="F29" s="155">
        <f>IFERROR(__xludf.DUMMYFUNCTION("""COMPUTED_VALUE"""),2.0)</f>
        <v>2</v>
      </c>
      <c r="G29" s="155"/>
      <c r="H29" s="156">
        <f>IFERROR(__xludf.DUMMYFUNCTION("""COMPUTED_VALUE"""),7.0)</f>
        <v>7</v>
      </c>
      <c r="I29" s="157">
        <f>IFERROR(__xludf.DUMMYFUNCTION("""COMPUTED_VALUE"""),0.0)</f>
        <v>0</v>
      </c>
      <c r="J29" s="158">
        <f>IFERROR(__xludf.DUMMYFUNCTION("""COMPUTED_VALUE"""),7.0)</f>
        <v>7</v>
      </c>
      <c r="K29" s="157"/>
      <c r="L29" s="160">
        <f>IFERROR(__xludf.DUMMYFUNCTION("""COMPUTED_VALUE"""),7.0)</f>
        <v>7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>
        <f>IFERROR(__xludf.DUMMYFUNCTION("""COMPUTED_VALUE"""),3.0)</f>
        <v>3</v>
      </c>
      <c r="F30" s="155">
        <f>IFERROR(__xludf.DUMMYFUNCTION("""COMPUTED_VALUE"""),1.0)</f>
        <v>1</v>
      </c>
      <c r="G30" s="155"/>
      <c r="H30" s="156">
        <f>IFERROR(__xludf.DUMMYFUNCTION("""COMPUTED_VALUE"""),4.0)</f>
        <v>4</v>
      </c>
      <c r="I30" s="157">
        <f>IFERROR(__xludf.DUMMYFUNCTION("""COMPUTED_VALUE"""),1.0)</f>
        <v>1</v>
      </c>
      <c r="J30" s="158">
        <f>IFERROR(__xludf.DUMMYFUNCTION("""COMPUTED_VALUE"""),5.0)</f>
        <v>5</v>
      </c>
      <c r="K30" s="157"/>
      <c r="L30" s="160">
        <f>IFERROR(__xludf.DUMMYFUNCTION("""COMPUTED_VALUE"""),4.0)</f>
        <v>4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>
        <f>IFERROR(__xludf.DUMMYFUNCTION("""COMPUTED_VALUE"""),8.0)</f>
        <v>8</v>
      </c>
      <c r="F31" s="155">
        <f>IFERROR(__xludf.DUMMYFUNCTION("""COMPUTED_VALUE"""),2.0)</f>
        <v>2</v>
      </c>
      <c r="G31" s="155"/>
      <c r="H31" s="156">
        <f>IFERROR(__xludf.DUMMYFUNCTION("""COMPUTED_VALUE"""),10.0)</f>
        <v>10</v>
      </c>
      <c r="I31" s="157">
        <f>IFERROR(__xludf.DUMMYFUNCTION("""COMPUTED_VALUE"""),0.0)</f>
        <v>0</v>
      </c>
      <c r="J31" s="158">
        <f>IFERROR(__xludf.DUMMYFUNCTION("""COMPUTED_VALUE"""),10.0)</f>
        <v>10</v>
      </c>
      <c r="K31" s="157"/>
      <c r="L31" s="160">
        <f>IFERROR(__xludf.DUMMYFUNCTION("""COMPUTED_VALUE"""),10.0)</f>
        <v>10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>
        <f>IFERROR(__xludf.DUMMYFUNCTION("""COMPUTED_VALUE"""),6.0)</f>
        <v>6</v>
      </c>
      <c r="F32" s="155">
        <f>IFERROR(__xludf.DUMMYFUNCTION("""COMPUTED_VALUE"""),2.0)</f>
        <v>2</v>
      </c>
      <c r="G32" s="155"/>
      <c r="H32" s="156">
        <f>IFERROR(__xludf.DUMMYFUNCTION("""COMPUTED_VALUE"""),8.0)</f>
        <v>8</v>
      </c>
      <c r="I32" s="157">
        <f>IFERROR(__xludf.DUMMYFUNCTION("""COMPUTED_VALUE"""),0.0)</f>
        <v>0</v>
      </c>
      <c r="J32" s="158">
        <f>IFERROR(__xludf.DUMMYFUNCTION("""COMPUTED_VALUE"""),8.0)</f>
        <v>8</v>
      </c>
      <c r="K32" s="157"/>
      <c r="L32" s="160">
        <f>IFERROR(__xludf.DUMMYFUNCTION("""COMPUTED_VALUE"""),8.0)</f>
        <v>8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>
        <f>IFERROR(__xludf.DUMMYFUNCTION("""COMPUTED_VALUE"""),8.0)</f>
        <v>8</v>
      </c>
      <c r="F33" s="155">
        <f>IFERROR(__xludf.DUMMYFUNCTION("""COMPUTED_VALUE"""),2.0)</f>
        <v>2</v>
      </c>
      <c r="G33" s="155"/>
      <c r="H33" s="156">
        <f>IFERROR(__xludf.DUMMYFUNCTION("""COMPUTED_VALUE"""),10.0)</f>
        <v>10</v>
      </c>
      <c r="I33" s="157">
        <f>IFERROR(__xludf.DUMMYFUNCTION("""COMPUTED_VALUE"""),0.0)</f>
        <v>0</v>
      </c>
      <c r="J33" s="158">
        <f>IFERROR(__xludf.DUMMYFUNCTION("""COMPUTED_VALUE"""),10.0)</f>
        <v>10</v>
      </c>
      <c r="K33" s="157"/>
      <c r="L33" s="160">
        <f>IFERROR(__xludf.DUMMYFUNCTION("""COMPUTED_VALUE"""),10.0)</f>
        <v>10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>
        <f>IFERROR(__xludf.DUMMYFUNCTION("""COMPUTED_VALUE"""),8.0)</f>
        <v>8</v>
      </c>
      <c r="F34" s="155">
        <f>IFERROR(__xludf.DUMMYFUNCTION("""COMPUTED_VALUE"""),2.0)</f>
        <v>2</v>
      </c>
      <c r="G34" s="155"/>
      <c r="H34" s="156">
        <f>IFERROR(__xludf.DUMMYFUNCTION("""COMPUTED_VALUE"""),10.0)</f>
        <v>10</v>
      </c>
      <c r="I34" s="157">
        <f>IFERROR(__xludf.DUMMYFUNCTION("""COMPUTED_VALUE"""),0.0)</f>
        <v>0</v>
      </c>
      <c r="J34" s="158">
        <f>IFERROR(__xludf.DUMMYFUNCTION("""COMPUTED_VALUE"""),10.0)</f>
        <v>10</v>
      </c>
      <c r="K34" s="157"/>
      <c r="L34" s="160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>
        <f>IFERROR(__xludf.DUMMYFUNCTION("""COMPUTED_VALUE"""),6.0)</f>
        <v>6</v>
      </c>
      <c r="F35" s="155">
        <f>IFERROR(__xludf.DUMMYFUNCTION("""COMPUTED_VALUE"""),2.0)</f>
        <v>2</v>
      </c>
      <c r="G35" s="155"/>
      <c r="H35" s="156">
        <f>IFERROR(__xludf.DUMMYFUNCTION("""COMPUTED_VALUE"""),8.0)</f>
        <v>8</v>
      </c>
      <c r="I35" s="157">
        <f>IFERROR(__xludf.DUMMYFUNCTION("""COMPUTED_VALUE"""),0.0)</f>
        <v>0</v>
      </c>
      <c r="J35" s="158">
        <f>IFERROR(__xludf.DUMMYFUNCTION("""COMPUTED_VALUE"""),8.0)</f>
        <v>8</v>
      </c>
      <c r="K35" s="157"/>
      <c r="L35" s="160">
        <f>IFERROR(__xludf.DUMMYFUNCTION("""COMPUTED_VALUE"""),8.0)</f>
        <v>8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>
        <f>IFERROR(__xludf.DUMMYFUNCTION("""COMPUTED_VALUE"""),6.0)</f>
        <v>6</v>
      </c>
      <c r="F36" s="155">
        <f>IFERROR(__xludf.DUMMYFUNCTION("""COMPUTED_VALUE"""),2.0)</f>
        <v>2</v>
      </c>
      <c r="G36" s="155"/>
      <c r="H36" s="156">
        <f>IFERROR(__xludf.DUMMYFUNCTION("""COMPUTED_VALUE"""),8.0)</f>
        <v>8</v>
      </c>
      <c r="I36" s="157">
        <f>IFERROR(__xludf.DUMMYFUNCTION("""COMPUTED_VALUE"""),1.0)</f>
        <v>1</v>
      </c>
      <c r="J36" s="158">
        <f>IFERROR(__xludf.DUMMYFUNCTION("""COMPUTED_VALUE"""),8.0)</f>
        <v>8</v>
      </c>
      <c r="K36" s="157"/>
      <c r="L36" s="160">
        <f>IFERROR(__xludf.DUMMYFUNCTION("""COMPUTED_VALUE"""),8.0)</f>
        <v>8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>
        <f>IFERROR(__xludf.DUMMYFUNCTION("""COMPUTED_VALUE"""),8.0)</f>
        <v>8</v>
      </c>
      <c r="F37" s="155">
        <f>IFERROR(__xludf.DUMMYFUNCTION("""COMPUTED_VALUE"""),2.0)</f>
        <v>2</v>
      </c>
      <c r="G37" s="155"/>
      <c r="H37" s="156">
        <f>IFERROR(__xludf.DUMMYFUNCTION("""COMPUTED_VALUE"""),10.0)</f>
        <v>10</v>
      </c>
      <c r="I37" s="157">
        <f>IFERROR(__xludf.DUMMYFUNCTION("""COMPUTED_VALUE"""),0.0)</f>
        <v>0</v>
      </c>
      <c r="J37" s="158">
        <f>IFERROR(__xludf.DUMMYFUNCTION("""COMPUTED_VALUE"""),10.0)</f>
        <v>10</v>
      </c>
      <c r="K37" s="157"/>
      <c r="L37" s="160">
        <f>IFERROR(__xludf.DUMMYFUNCTION("""COMPUTED_VALUE"""),10.0)</f>
        <v>10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>
        <f>IFERROR(__xludf.DUMMYFUNCTION("""COMPUTED_VALUE"""),6.0)</f>
        <v>6</v>
      </c>
      <c r="F38" s="155">
        <f>IFERROR(__xludf.DUMMYFUNCTION("""COMPUTED_VALUE"""),2.0)</f>
        <v>2</v>
      </c>
      <c r="G38" s="155">
        <f>IFERROR(__xludf.DUMMYFUNCTION("""COMPUTED_VALUE"""),0.2)</f>
        <v>0.2</v>
      </c>
      <c r="H38" s="156">
        <f>IFERROR(__xludf.DUMMYFUNCTION("""COMPUTED_VALUE"""),8.2)</f>
        <v>8.2</v>
      </c>
      <c r="I38" s="157">
        <f>IFERROR(__xludf.DUMMYFUNCTION("""COMPUTED_VALUE"""),0.0)</f>
        <v>0</v>
      </c>
      <c r="J38" s="158">
        <f>IFERROR(__xludf.DUMMYFUNCTION("""COMPUTED_VALUE"""),8.0)</f>
        <v>8</v>
      </c>
      <c r="K38" s="157"/>
      <c r="L38" s="160">
        <f>IFERROR(__xludf.DUMMYFUNCTION("""COMPUTED_VALUE"""),8.0)</f>
        <v>8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>
        <f>IFERROR(__xludf.DUMMYFUNCTION("""COMPUTED_VALUE"""),6.0)</f>
        <v>6</v>
      </c>
      <c r="F39" s="155">
        <f>IFERROR(__xludf.DUMMYFUNCTION("""COMPUTED_VALUE"""),2.0)</f>
        <v>2</v>
      </c>
      <c r="G39" s="155"/>
      <c r="H39" s="156">
        <f>IFERROR(__xludf.DUMMYFUNCTION("""COMPUTED_VALUE"""),8.0)</f>
        <v>8</v>
      </c>
      <c r="I39" s="157">
        <f>IFERROR(__xludf.DUMMYFUNCTION("""COMPUTED_VALUE"""),0.0)</f>
        <v>0</v>
      </c>
      <c r="J39" s="158">
        <f>IFERROR(__xludf.DUMMYFUNCTION("""COMPUTED_VALUE"""),8.0)</f>
        <v>8</v>
      </c>
      <c r="K39" s="157"/>
      <c r="L39" s="160">
        <f>IFERROR(__xludf.DUMMYFUNCTION("""COMPUTED_VALUE"""),8.0)</f>
        <v>8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>
        <f>IFERROR(__xludf.DUMMYFUNCTION("""COMPUTED_VALUE"""),8.0)</f>
        <v>8</v>
      </c>
      <c r="F40" s="155">
        <f>IFERROR(__xludf.DUMMYFUNCTION("""COMPUTED_VALUE"""),1.0)</f>
        <v>1</v>
      </c>
      <c r="G40" s="155"/>
      <c r="H40" s="156">
        <f>IFERROR(__xludf.DUMMYFUNCTION("""COMPUTED_VALUE"""),9.0)</f>
        <v>9</v>
      </c>
      <c r="I40" s="157">
        <f>IFERROR(__xludf.DUMMYFUNCTION("""COMPUTED_VALUE"""),0.0)</f>
        <v>0</v>
      </c>
      <c r="J40" s="158">
        <f>IFERROR(__xludf.DUMMYFUNCTION("""COMPUTED_VALUE"""),9.0)</f>
        <v>9</v>
      </c>
      <c r="K40" s="157"/>
      <c r="L40" s="160">
        <f>IFERROR(__xludf.DUMMYFUNCTION("""COMPUTED_VALUE"""),9.0)</f>
        <v>9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>
        <f>IFERROR(__xludf.DUMMYFUNCTION("""COMPUTED_VALUE"""),5.0)</f>
        <v>5</v>
      </c>
      <c r="F41" s="155">
        <f>IFERROR(__xludf.DUMMYFUNCTION("""COMPUTED_VALUE"""),2.0)</f>
        <v>2</v>
      </c>
      <c r="G41" s="155"/>
      <c r="H41" s="156">
        <f>IFERROR(__xludf.DUMMYFUNCTION("""COMPUTED_VALUE"""),7.0)</f>
        <v>7</v>
      </c>
      <c r="I41" s="157">
        <f>IFERROR(__xludf.DUMMYFUNCTION("""COMPUTED_VALUE"""),0.0)</f>
        <v>0</v>
      </c>
      <c r="J41" s="158">
        <f>IFERROR(__xludf.DUMMYFUNCTION("""COMPUTED_VALUE"""),7.0)</f>
        <v>7</v>
      </c>
      <c r="K41" s="157"/>
      <c r="L41" s="160">
        <f>IFERROR(__xludf.DUMMYFUNCTION("""COMPUTED_VALUE"""),7.0)</f>
        <v>7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>
        <f>IFERROR(__xludf.DUMMYFUNCTION("""COMPUTED_VALUE"""),8.0)</f>
        <v>8</v>
      </c>
      <c r="F42" s="155">
        <f>IFERROR(__xludf.DUMMYFUNCTION("""COMPUTED_VALUE"""),2.0)</f>
        <v>2</v>
      </c>
      <c r="G42" s="155"/>
      <c r="H42" s="156">
        <f>IFERROR(__xludf.DUMMYFUNCTION("""COMPUTED_VALUE"""),10.0)</f>
        <v>10</v>
      </c>
      <c r="I42" s="157">
        <f>IFERROR(__xludf.DUMMYFUNCTION("""COMPUTED_VALUE"""),0.0)</f>
        <v>0</v>
      </c>
      <c r="J42" s="158">
        <f>IFERROR(__xludf.DUMMYFUNCTION("""COMPUTED_VALUE"""),10.0)</f>
        <v>10</v>
      </c>
      <c r="K42" s="157"/>
      <c r="L42" s="160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>
        <f>IFERROR(__xludf.DUMMYFUNCTION("""COMPUTED_VALUE"""),6.0)</f>
        <v>6</v>
      </c>
      <c r="F43" s="155">
        <f>IFERROR(__xludf.DUMMYFUNCTION("""COMPUTED_VALUE"""),2.0)</f>
        <v>2</v>
      </c>
      <c r="G43" s="155"/>
      <c r="H43" s="156">
        <f>IFERROR(__xludf.DUMMYFUNCTION("""COMPUTED_VALUE"""),8.0)</f>
        <v>8</v>
      </c>
      <c r="I43" s="157">
        <f>IFERROR(__xludf.DUMMYFUNCTION("""COMPUTED_VALUE"""),0.0)</f>
        <v>0</v>
      </c>
      <c r="J43" s="158">
        <f>IFERROR(__xludf.DUMMYFUNCTION("""COMPUTED_VALUE"""),8.0)</f>
        <v>8</v>
      </c>
      <c r="K43" s="157"/>
      <c r="L43" s="160">
        <f>IFERROR(__xludf.DUMMYFUNCTION("""COMPUTED_VALUE"""),8.0)</f>
        <v>8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IFERROR(__xludf.DUMMYFUNCTION("""COMPUTED_VALUE"""),"MUÑOZ")</f>
        <v>MUÑOZ</v>
      </c>
      <c r="C44" s="53" t="str">
        <f>IFERROR(__xludf.DUMMYFUNCTION("""COMPUTED_VALUE"""),"GARCIA")</f>
        <v>GARCIA</v>
      </c>
      <c r="D44" s="63" t="str">
        <f>IFERROR(__xludf.DUMMYFUNCTION("""COMPUTED_VALUE"""),"HERIBERTO")</f>
        <v>HERIBERTO</v>
      </c>
      <c r="E44" s="155">
        <f>IFERROR(__xludf.DUMMYFUNCTION("""COMPUTED_VALUE"""),6.0)</f>
        <v>6</v>
      </c>
      <c r="F44" s="155">
        <f>IFERROR(__xludf.DUMMYFUNCTION("""COMPUTED_VALUE"""),2.0)</f>
        <v>2</v>
      </c>
      <c r="G44" s="155">
        <f>IFERROR(__xludf.DUMMYFUNCTION("""COMPUTED_VALUE"""),0.1)</f>
        <v>0.1</v>
      </c>
      <c r="H44" s="156">
        <f>IFERROR(__xludf.DUMMYFUNCTION("""COMPUTED_VALUE"""),8.1)</f>
        <v>8.1</v>
      </c>
      <c r="I44" s="157">
        <f>IFERROR(__xludf.DUMMYFUNCTION("""COMPUTED_VALUE"""),0.0)</f>
        <v>0</v>
      </c>
      <c r="J44" s="158">
        <f>IFERROR(__xludf.DUMMYFUNCTION("""COMPUTED_VALUE"""),8.0)</f>
        <v>8</v>
      </c>
      <c r="K44" s="157"/>
      <c r="L44" s="160">
        <f>IFERROR(__xludf.DUMMYFUNCTION("""COMPUTED_VALUE"""),8.0)</f>
        <v>8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IFERROR(__xludf.DUMMYFUNCTION("""COMPUTED_VALUE"""),"PLATA")</f>
        <v>PLATA</v>
      </c>
      <c r="C45" s="53" t="str">
        <f>IFERROR(__xludf.DUMMYFUNCTION("""COMPUTED_VALUE"""),"CLAUDIO")</f>
        <v>CLAUDIO</v>
      </c>
      <c r="D45" s="63" t="str">
        <f>IFERROR(__xludf.DUMMYFUNCTION("""COMPUTED_VALUE"""),"EMILIANO")</f>
        <v>EMILIANO</v>
      </c>
      <c r="E45" s="155">
        <f>IFERROR(__xludf.DUMMYFUNCTION("""COMPUTED_VALUE"""),6.0)</f>
        <v>6</v>
      </c>
      <c r="F45" s="155">
        <f>IFERROR(__xludf.DUMMYFUNCTION("""COMPUTED_VALUE"""),2.0)</f>
        <v>2</v>
      </c>
      <c r="G45" s="155"/>
      <c r="H45" s="156">
        <f>IFERROR(__xludf.DUMMYFUNCTION("""COMPUTED_VALUE"""),8.0)</f>
        <v>8</v>
      </c>
      <c r="I45" s="157">
        <f>IFERROR(__xludf.DUMMYFUNCTION("""COMPUTED_VALUE"""),0.0)</f>
        <v>0</v>
      </c>
      <c r="J45" s="158">
        <f>IFERROR(__xludf.DUMMYFUNCTION("""COMPUTED_VALUE"""),8.0)</f>
        <v>8</v>
      </c>
      <c r="K45" s="157"/>
      <c r="L45" s="160">
        <f>IFERROR(__xludf.DUMMYFUNCTION("""COMPUTED_VALUE"""),8.0)</f>
        <v>8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IFERROR(__xludf.DUMMYFUNCTION("""COMPUTED_VALUE"""),"RAMOS")</f>
        <v>RAMOS</v>
      </c>
      <c r="C46" s="53" t="str">
        <f>IFERROR(__xludf.DUMMYFUNCTION("""COMPUTED_VALUE"""),"REYES")</f>
        <v>REYES</v>
      </c>
      <c r="D46" s="63" t="str">
        <f>IFERROR(__xludf.DUMMYFUNCTION("""COMPUTED_VALUE"""),"ALEXA SOFIA")</f>
        <v>ALEXA SOFIA</v>
      </c>
      <c r="E46" s="155">
        <f>IFERROR(__xludf.DUMMYFUNCTION("""COMPUTED_VALUE"""),2.0)</f>
        <v>2</v>
      </c>
      <c r="F46" s="155">
        <f>IFERROR(__xludf.DUMMYFUNCTION("""COMPUTED_VALUE"""),0.0)</f>
        <v>0</v>
      </c>
      <c r="G46" s="155"/>
      <c r="H46" s="156">
        <f>IFERROR(__xludf.DUMMYFUNCTION("""COMPUTED_VALUE"""),2.0)</f>
        <v>2</v>
      </c>
      <c r="I46" s="157">
        <f>IFERROR(__xludf.DUMMYFUNCTION("""COMPUTED_VALUE"""),0.0)</f>
        <v>0</v>
      </c>
      <c r="J46" s="158">
        <f>IFERROR(__xludf.DUMMYFUNCTION("""COMPUTED_VALUE"""),5.0)</f>
        <v>5</v>
      </c>
      <c r="K46" s="157"/>
      <c r="L46" s="160">
        <f>IFERROR(__xludf.DUMMYFUNCTION("""COMPUTED_VALUE"""),2.0)</f>
        <v>2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IFERROR(__xludf.DUMMYFUNCTION("""COMPUTED_VALUE"""),"REYES")</f>
        <v>REYES</v>
      </c>
      <c r="C47" s="53" t="str">
        <f>IFERROR(__xludf.DUMMYFUNCTION("""COMPUTED_VALUE"""),"ALLENDE")</f>
        <v>ALLENDE</v>
      </c>
      <c r="D47" s="63" t="str">
        <f>IFERROR(__xludf.DUMMYFUNCTION("""COMPUTED_VALUE"""),"ELIZABETH")</f>
        <v>ELIZABETH</v>
      </c>
      <c r="E47" s="155">
        <f>IFERROR(__xludf.DUMMYFUNCTION("""COMPUTED_VALUE"""),8.0)</f>
        <v>8</v>
      </c>
      <c r="F47" s="155">
        <f>IFERROR(__xludf.DUMMYFUNCTION("""COMPUTED_VALUE"""),2.0)</f>
        <v>2</v>
      </c>
      <c r="G47" s="155">
        <f>IFERROR(__xludf.DUMMYFUNCTION("""COMPUTED_VALUE"""),0.1)</f>
        <v>0.1</v>
      </c>
      <c r="H47" s="156">
        <f>IFERROR(__xludf.DUMMYFUNCTION("""COMPUTED_VALUE"""),10.1)</f>
        <v>10.1</v>
      </c>
      <c r="I47" s="157">
        <f>IFERROR(__xludf.DUMMYFUNCTION("""COMPUTED_VALUE"""),0.0)</f>
        <v>0</v>
      </c>
      <c r="J47" s="158">
        <f>IFERROR(__xludf.DUMMYFUNCTION("""COMPUTED_VALUE"""),10.0)</f>
        <v>10</v>
      </c>
      <c r="K47" s="157"/>
      <c r="L47" s="160">
        <f>IFERROR(__xludf.DUMMYFUNCTION("""COMPUTED_VALUE"""),10.0)</f>
        <v>10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IFERROR(__xludf.DUMMYFUNCTION("""COMPUTED_VALUE"""),"RODRIGUEZ")</f>
        <v>RODRIGUEZ</v>
      </c>
      <c r="C48" s="66" t="str">
        <f>IFERROR(__xludf.DUMMYFUNCTION("""COMPUTED_VALUE"""),"CAMARENA")</f>
        <v>CAMARENA</v>
      </c>
      <c r="D48" s="67" t="str">
        <f>IFERROR(__xludf.DUMMYFUNCTION("""COMPUTED_VALUE"""),"ALONDRA KARIME")</f>
        <v>ALONDRA KARIME</v>
      </c>
      <c r="E48" s="155">
        <f>IFERROR(__xludf.DUMMYFUNCTION("""COMPUTED_VALUE"""),8.0)</f>
        <v>8</v>
      </c>
      <c r="F48" s="155">
        <f>IFERROR(__xludf.DUMMYFUNCTION("""COMPUTED_VALUE"""),2.0)</f>
        <v>2</v>
      </c>
      <c r="G48" s="155">
        <f>IFERROR(__xludf.DUMMYFUNCTION("""COMPUTED_VALUE"""),0.1)</f>
        <v>0.1</v>
      </c>
      <c r="H48" s="156">
        <f>IFERROR(__xludf.DUMMYFUNCTION("""COMPUTED_VALUE"""),10.1)</f>
        <v>10.1</v>
      </c>
      <c r="I48" s="157">
        <f>IFERROR(__xludf.DUMMYFUNCTION("""COMPUTED_VALUE"""),0.0)</f>
        <v>0</v>
      </c>
      <c r="J48" s="158">
        <f>IFERROR(__xludf.DUMMYFUNCTION("""COMPUTED_VALUE"""),10.0)</f>
        <v>10</v>
      </c>
      <c r="K48" s="157"/>
      <c r="L48" s="160">
        <f>IFERROR(__xludf.DUMMYFUNCTION("""COMPUTED_VALUE"""),10.0)</f>
        <v>10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IFERROR(__xludf.DUMMYFUNCTION("""COMPUTED_VALUE"""),"ORTIZ")</f>
        <v>ORTIZ</v>
      </c>
      <c r="D49" s="67" t="str">
        <f>IFERROR(__xludf.DUMMYFUNCTION("""COMPUTED_VALUE"""),"AITANA YATZIRI")</f>
        <v>AITANA YATZIRI</v>
      </c>
      <c r="E49" s="155">
        <f>IFERROR(__xludf.DUMMYFUNCTION("""COMPUTED_VALUE"""),5.0)</f>
        <v>5</v>
      </c>
      <c r="F49" s="155">
        <f>IFERROR(__xludf.DUMMYFUNCTION("""COMPUTED_VALUE"""),2.0)</f>
        <v>2</v>
      </c>
      <c r="G49" s="155"/>
      <c r="H49" s="156">
        <f>IFERROR(__xludf.DUMMYFUNCTION("""COMPUTED_VALUE"""),7.0)</f>
        <v>7</v>
      </c>
      <c r="I49" s="157">
        <f>IFERROR(__xludf.DUMMYFUNCTION("""COMPUTED_VALUE"""),0.0)</f>
        <v>0</v>
      </c>
      <c r="J49" s="158">
        <f>IFERROR(__xludf.DUMMYFUNCTION("""COMPUTED_VALUE"""),7.0)</f>
        <v>7</v>
      </c>
      <c r="K49" s="157"/>
      <c r="L49" s="160">
        <f>IFERROR(__xludf.DUMMYFUNCTION("""COMPUTED_VALUE"""),7.0)</f>
        <v>7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IFERROR(__xludf.DUMMYFUNCTION("""COMPUTED_VALUE"""),"TIRADO")</f>
        <v>TIRADO</v>
      </c>
      <c r="D50" s="67" t="str">
        <f>IFERROR(__xludf.DUMMYFUNCTION("""COMPUTED_VALUE"""),"ELIZABETH")</f>
        <v>ELIZABETH</v>
      </c>
      <c r="E50" s="155">
        <f>IFERROR(__xludf.DUMMYFUNCTION("""COMPUTED_VALUE"""),8.0)</f>
        <v>8</v>
      </c>
      <c r="F50" s="155">
        <f>IFERROR(__xludf.DUMMYFUNCTION("""COMPUTED_VALUE"""),2.0)</f>
        <v>2</v>
      </c>
      <c r="G50" s="155"/>
      <c r="H50" s="156">
        <f>IFERROR(__xludf.DUMMYFUNCTION("""COMPUTED_VALUE"""),10.0)</f>
        <v>10</v>
      </c>
      <c r="I50" s="157">
        <f>IFERROR(__xludf.DUMMYFUNCTION("""COMPUTED_VALUE"""),0.0)</f>
        <v>0</v>
      </c>
      <c r="J50" s="158">
        <f>IFERROR(__xludf.DUMMYFUNCTION("""COMPUTED_VALUE"""),10.0)</f>
        <v>10</v>
      </c>
      <c r="K50" s="157"/>
      <c r="L50" s="160">
        <f>IFERROR(__xludf.DUMMYFUNCTION("""COMPUTED_VALUE"""),10.0)</f>
        <v>10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IFERROR(__xludf.DUMMYFUNCTION("""COMPUTED_VALUE"""),"ROMERO")</f>
        <v>ROMERO</v>
      </c>
      <c r="C51" s="66" t="str">
        <f>IFERROR(__xludf.DUMMYFUNCTION("""COMPUTED_VALUE"""),"CAMACHO")</f>
        <v>CAMACHO</v>
      </c>
      <c r="D51" s="67" t="str">
        <f>IFERROR(__xludf.DUMMYFUNCTION("""COMPUTED_VALUE"""),"DIANA LAURA")</f>
        <v>DIANA LAURA</v>
      </c>
      <c r="E51" s="155">
        <f>IFERROR(__xludf.DUMMYFUNCTION("""COMPUTED_VALUE"""),8.0)</f>
        <v>8</v>
      </c>
      <c r="F51" s="155">
        <f>IFERROR(__xludf.DUMMYFUNCTION("""COMPUTED_VALUE"""),1.0)</f>
        <v>1</v>
      </c>
      <c r="G51" s="155"/>
      <c r="H51" s="156">
        <f>IFERROR(__xludf.DUMMYFUNCTION("""COMPUTED_VALUE"""),9.0)</f>
        <v>9</v>
      </c>
      <c r="I51" s="157">
        <f>IFERROR(__xludf.DUMMYFUNCTION("""COMPUTED_VALUE"""),0.0)</f>
        <v>0</v>
      </c>
      <c r="J51" s="158">
        <f>IFERROR(__xludf.DUMMYFUNCTION("""COMPUTED_VALUE"""),9.0)</f>
        <v>9</v>
      </c>
      <c r="K51" s="157"/>
      <c r="L51" s="161">
        <f>IFERROR(__xludf.DUMMYFUNCTION("""COMPUTED_VALUE"""),9.0)</f>
        <v>9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IFERROR(__xludf.DUMMYFUNCTION("""COMPUTED_VALUE"""),"RUIZ")</f>
        <v>RUIZ</v>
      </c>
      <c r="C52" s="66" t="str">
        <f>IFERROR(__xludf.DUMMYFUNCTION("""COMPUTED_VALUE"""),"JIMENEZ")</f>
        <v>JIMENEZ</v>
      </c>
      <c r="D52" s="67" t="str">
        <f>IFERROR(__xludf.DUMMYFUNCTION("""COMPUTED_VALUE"""),"ANA KAREN")</f>
        <v>ANA KAREN</v>
      </c>
      <c r="E52" s="155">
        <f>IFERROR(__xludf.DUMMYFUNCTION("""COMPUTED_VALUE"""),8.0)</f>
        <v>8</v>
      </c>
      <c r="F52" s="155">
        <f>IFERROR(__xludf.DUMMYFUNCTION("""COMPUTED_VALUE"""),2.0)</f>
        <v>2</v>
      </c>
      <c r="G52" s="155"/>
      <c r="H52" s="156">
        <f>IFERROR(__xludf.DUMMYFUNCTION("""COMPUTED_VALUE"""),10.0)</f>
        <v>10</v>
      </c>
      <c r="I52" s="157">
        <f>IFERROR(__xludf.DUMMYFUNCTION("""COMPUTED_VALUE"""),0.0)</f>
        <v>0</v>
      </c>
      <c r="J52" s="158">
        <f>IFERROR(__xludf.DUMMYFUNCTION("""COMPUTED_VALUE"""),10.0)</f>
        <v>10</v>
      </c>
      <c r="K52" s="157"/>
      <c r="L52" s="161">
        <f>IFERROR(__xludf.DUMMYFUNCTION("""COMPUTED_VALUE"""),10.0)</f>
        <v>10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IFERROR(__xludf.DUMMYFUNCTION("""COMPUTED_VALUE"""),"SALAS")</f>
        <v>SALAS</v>
      </c>
      <c r="C53" s="66" t="str">
        <f>IFERROR(__xludf.DUMMYFUNCTION("""COMPUTED_VALUE"""),"CAMARENA")</f>
        <v>CAMARENA</v>
      </c>
      <c r="D53" s="67" t="str">
        <f>IFERROR(__xludf.DUMMYFUNCTION("""COMPUTED_VALUE"""),"ESTEFANIA")</f>
        <v>ESTEFANIA</v>
      </c>
      <c r="E53" s="155">
        <f>IFERROR(__xludf.DUMMYFUNCTION("""COMPUTED_VALUE"""),5.0)</f>
        <v>5</v>
      </c>
      <c r="F53" s="155">
        <f>IFERROR(__xludf.DUMMYFUNCTION("""COMPUTED_VALUE"""),1.0)</f>
        <v>1</v>
      </c>
      <c r="G53" s="155"/>
      <c r="H53" s="156">
        <f>IFERROR(__xludf.DUMMYFUNCTION("""COMPUTED_VALUE"""),6.0)</f>
        <v>6</v>
      </c>
      <c r="I53" s="157">
        <f>IFERROR(__xludf.DUMMYFUNCTION("""COMPUTED_VALUE"""),0.0)</f>
        <v>0</v>
      </c>
      <c r="J53" s="158">
        <f>IFERROR(__xludf.DUMMYFUNCTION("""COMPUTED_VALUE"""),6.0)</f>
        <v>6</v>
      </c>
      <c r="K53" s="157"/>
      <c r="L53" s="161">
        <f>IFERROR(__xludf.DUMMYFUNCTION("""COMPUTED_VALUE"""),6.0)</f>
        <v>6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IFERROR(__xludf.DUMMYFUNCTION("""COMPUTED_VALUE"""),"GARCIA")</f>
        <v>GARCIA</v>
      </c>
      <c r="D54" s="67" t="str">
        <f>IFERROR(__xludf.DUMMYFUNCTION("""COMPUTED_VALUE"""),"ASHLEY GUADALUPE")</f>
        <v>ASHLEY GUADALUPE</v>
      </c>
      <c r="E54" s="155">
        <f>IFERROR(__xludf.DUMMYFUNCTION("""COMPUTED_VALUE"""),7.0)</f>
        <v>7</v>
      </c>
      <c r="F54" s="155">
        <f>IFERROR(__xludf.DUMMYFUNCTION("""COMPUTED_VALUE"""),2.0)</f>
        <v>2</v>
      </c>
      <c r="G54" s="155"/>
      <c r="H54" s="156">
        <f>IFERROR(__xludf.DUMMYFUNCTION("""COMPUTED_VALUE"""),9.0)</f>
        <v>9</v>
      </c>
      <c r="I54" s="162">
        <f>IFERROR(__xludf.DUMMYFUNCTION("""COMPUTED_VALUE"""),0.0)</f>
        <v>0</v>
      </c>
      <c r="J54" s="158">
        <f>IFERROR(__xludf.DUMMYFUNCTION("""COMPUTED_VALUE"""),9.0)</f>
        <v>9</v>
      </c>
      <c r="K54" s="157"/>
      <c r="L54" s="161">
        <f>IFERROR(__xludf.DUMMYFUNCTION("""COMPUTED_VALUE"""),9.0)</f>
        <v>9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IFERROR(__xludf.DUMMYFUNCTION("""COMPUTED_VALUE"""),"RESENDIZ")</f>
        <v>RESENDIZ</v>
      </c>
      <c r="D55" s="67" t="str">
        <f>IFERROR(__xludf.DUMMYFUNCTION("""COMPUTED_VALUE"""),"AISLINN REBECA")</f>
        <v>AISLINN REBECA</v>
      </c>
      <c r="E55" s="155">
        <f>IFERROR(__xludf.DUMMYFUNCTION("""COMPUTED_VALUE"""),8.0)</f>
        <v>8</v>
      </c>
      <c r="F55" s="155">
        <f>IFERROR(__xludf.DUMMYFUNCTION("""COMPUTED_VALUE"""),2.0)</f>
        <v>2</v>
      </c>
      <c r="G55" s="155"/>
      <c r="H55" s="156">
        <f>IFERROR(__xludf.DUMMYFUNCTION("""COMPUTED_VALUE"""),10.0)</f>
        <v>10</v>
      </c>
      <c r="I55" s="162">
        <f>IFERROR(__xludf.DUMMYFUNCTION("""COMPUTED_VALUE"""),0.0)</f>
        <v>0</v>
      </c>
      <c r="J55" s="158">
        <f>IFERROR(__xludf.DUMMYFUNCTION("""COMPUTED_VALUE"""),10.0)</f>
        <v>10</v>
      </c>
      <c r="K55" s="157"/>
      <c r="L55" s="161">
        <f>IFERROR(__xludf.DUMMYFUNCTION("""COMPUTED_VALUE"""),10.0)</f>
        <v>10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IFERROR(__xludf.DUMMYFUNCTION("""COMPUTED_VALUE"""),"SANCHEZ")</f>
        <v>SANCHEZ</v>
      </c>
      <c r="C56" s="66" t="str">
        <f>IFERROR(__xludf.DUMMYFUNCTION("""COMPUTED_VALUE"""),"PEREZ")</f>
        <v>PEREZ</v>
      </c>
      <c r="D56" s="67" t="str">
        <f>IFERROR(__xludf.DUMMYFUNCTION("""COMPUTED_VALUE"""),"ANGEL EMMANUEL")</f>
        <v>ANGEL EMMANUEL</v>
      </c>
      <c r="E56" s="155">
        <f>IFERROR(__xludf.DUMMYFUNCTION("""COMPUTED_VALUE"""),6.0)</f>
        <v>6</v>
      </c>
      <c r="F56" s="155">
        <f>IFERROR(__xludf.DUMMYFUNCTION("""COMPUTED_VALUE"""),1.0)</f>
        <v>1</v>
      </c>
      <c r="G56" s="155"/>
      <c r="H56" s="156">
        <f>IFERROR(__xludf.DUMMYFUNCTION("""COMPUTED_VALUE"""),7.0)</f>
        <v>7</v>
      </c>
      <c r="I56" s="162">
        <f>IFERROR(__xludf.DUMMYFUNCTION("""COMPUTED_VALUE"""),0.0)</f>
        <v>0</v>
      </c>
      <c r="J56" s="158">
        <f>IFERROR(__xludf.DUMMYFUNCTION("""COMPUTED_VALUE"""),7.0)</f>
        <v>7</v>
      </c>
      <c r="K56" s="157"/>
      <c r="L56" s="161">
        <f>IFERROR(__xludf.DUMMYFUNCTION("""COMPUTED_VALUE"""),7.0)</f>
        <v>7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IFERROR(__xludf.DUMMYFUNCTION("""COMPUTED_VALUE"""),"SANTAMARIA")</f>
        <v>SANTAMARIA</v>
      </c>
      <c r="C57" s="66" t="str">
        <f>IFERROR(__xludf.DUMMYFUNCTION("""COMPUTED_VALUE"""),"OSORIO")</f>
        <v>OSORIO</v>
      </c>
      <c r="D57" s="67" t="str">
        <f>IFERROR(__xludf.DUMMYFUNCTION("""COMPUTED_VALUE"""),"VALERIA")</f>
        <v>VALERIA</v>
      </c>
      <c r="E57" s="155">
        <f>IFERROR(__xludf.DUMMYFUNCTION("""COMPUTED_VALUE"""),6.0)</f>
        <v>6</v>
      </c>
      <c r="F57" s="155">
        <f>IFERROR(__xludf.DUMMYFUNCTION("""COMPUTED_VALUE"""),2.0)</f>
        <v>2</v>
      </c>
      <c r="G57" s="155"/>
      <c r="H57" s="156">
        <f>IFERROR(__xludf.DUMMYFUNCTION("""COMPUTED_VALUE"""),8.0)</f>
        <v>8</v>
      </c>
      <c r="I57" s="162">
        <f>IFERROR(__xludf.DUMMYFUNCTION("""COMPUTED_VALUE"""),0.0)</f>
        <v>0</v>
      </c>
      <c r="J57" s="158">
        <f>IFERROR(__xludf.DUMMYFUNCTION("""COMPUTED_VALUE"""),8.0)</f>
        <v>8</v>
      </c>
      <c r="K57" s="157"/>
      <c r="L57" s="161">
        <f>IFERROR(__xludf.DUMMYFUNCTION("""COMPUTED_VALUE"""),8.0)</f>
        <v>8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IFERROR(__xludf.DUMMYFUNCTION("""COMPUTED_VALUE"""),"SILVA")</f>
        <v>SILVA</v>
      </c>
      <c r="C58" s="66" t="str">
        <f>IFERROR(__xludf.DUMMYFUNCTION("""COMPUTED_VALUE"""),"RAMIREZ")</f>
        <v>RAMIREZ</v>
      </c>
      <c r="D58" s="67" t="str">
        <f>IFERROR(__xludf.DUMMYFUNCTION("""COMPUTED_VALUE"""),"FERNANDA CAMILA")</f>
        <v>FERNANDA CAMILA</v>
      </c>
      <c r="E58" s="155">
        <f>IFERROR(__xludf.DUMMYFUNCTION("""COMPUTED_VALUE"""),8.0)</f>
        <v>8</v>
      </c>
      <c r="F58" s="155">
        <f>IFERROR(__xludf.DUMMYFUNCTION("""COMPUTED_VALUE"""),2.0)</f>
        <v>2</v>
      </c>
      <c r="G58" s="155"/>
      <c r="H58" s="156">
        <f>IFERROR(__xludf.DUMMYFUNCTION("""COMPUTED_VALUE"""),10.0)</f>
        <v>10</v>
      </c>
      <c r="I58" s="162">
        <f>IFERROR(__xludf.DUMMYFUNCTION("""COMPUTED_VALUE"""),0.0)</f>
        <v>0</v>
      </c>
      <c r="J58" s="158">
        <f>IFERROR(__xludf.DUMMYFUNCTION("""COMPUTED_VALUE"""),10.0)</f>
        <v>10</v>
      </c>
      <c r="K58" s="157"/>
      <c r="L58" s="161">
        <f>IFERROR(__xludf.DUMMYFUNCTION("""COMPUTED_VALUE"""),10.0)</f>
        <v>10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IFERROR(__xludf.DUMMYFUNCTION("""COMPUTED_VALUE"""),"TORRES")</f>
        <v>TORRES</v>
      </c>
      <c r="C59" s="66" t="str">
        <f>IFERROR(__xludf.DUMMYFUNCTION("""COMPUTED_VALUE"""),"DE LEON")</f>
        <v>DE LEON</v>
      </c>
      <c r="D59" s="67" t="str">
        <f>IFERROR(__xludf.DUMMYFUNCTION("""COMPUTED_VALUE"""),"EVAN AMANI")</f>
        <v>EVAN AMANI</v>
      </c>
      <c r="E59" s="155">
        <f>IFERROR(__xludf.DUMMYFUNCTION("""COMPUTED_VALUE"""),8.0)</f>
        <v>8</v>
      </c>
      <c r="F59" s="155">
        <f>IFERROR(__xludf.DUMMYFUNCTION("""COMPUTED_VALUE"""),1.0)</f>
        <v>1</v>
      </c>
      <c r="G59" s="155"/>
      <c r="H59" s="156">
        <f>IFERROR(__xludf.DUMMYFUNCTION("""COMPUTED_VALUE"""),9.0)</f>
        <v>9</v>
      </c>
      <c r="I59" s="162">
        <f>IFERROR(__xludf.DUMMYFUNCTION("""COMPUTED_VALUE"""),0.0)</f>
        <v>0</v>
      </c>
      <c r="J59" s="158">
        <f>IFERROR(__xludf.DUMMYFUNCTION("""COMPUTED_VALUE"""),9.0)</f>
        <v>9</v>
      </c>
      <c r="K59" s="157"/>
      <c r="L59" s="161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IFERROR(__xludf.DUMMYFUNCTION("""COMPUTED_VALUE"""),"TREJO")</f>
        <v>TREJO</v>
      </c>
      <c r="C60" s="66" t="str">
        <f>IFERROR(__xludf.DUMMYFUNCTION("""COMPUTED_VALUE"""),"MARTINEZ")</f>
        <v>MARTINEZ</v>
      </c>
      <c r="D60" s="69" t="str">
        <f>IFERROR(__xludf.DUMMYFUNCTION("""COMPUTED_VALUE"""),"FERNANDO ALEXANDER")</f>
        <v>FERNANDO ALEXANDER</v>
      </c>
      <c r="E60" s="155">
        <f>IFERROR(__xludf.DUMMYFUNCTION("""COMPUTED_VALUE"""),6.0)</f>
        <v>6</v>
      </c>
      <c r="F60" s="155">
        <f>IFERROR(__xludf.DUMMYFUNCTION("""COMPUTED_VALUE"""),2.0)</f>
        <v>2</v>
      </c>
      <c r="G60" s="155"/>
      <c r="H60" s="156">
        <f>IFERROR(__xludf.DUMMYFUNCTION("""COMPUTED_VALUE"""),8.0)</f>
        <v>8</v>
      </c>
      <c r="I60" s="162">
        <f>IFERROR(__xludf.DUMMYFUNCTION("""COMPUTED_VALUE"""),0.0)</f>
        <v>0</v>
      </c>
      <c r="J60" s="158">
        <f>IFERROR(__xludf.DUMMYFUNCTION("""COMPUTED_VALUE"""),8.0)</f>
        <v>8</v>
      </c>
      <c r="K60" s="157"/>
      <c r="L60" s="161">
        <f>IFERROR(__xludf.DUMMYFUNCTION("""COMPUTED_VALUE"""),8.0)</f>
        <v>8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IFERROR(__xludf.DUMMYFUNCTION("""COMPUTED_VALUE"""),"URIBE")</f>
        <v>URIBE</v>
      </c>
      <c r="C61" s="66" t="str">
        <f>IFERROR(__xludf.DUMMYFUNCTION("""COMPUTED_VALUE"""),"CHAVEZ")</f>
        <v>CHAVEZ</v>
      </c>
      <c r="D61" s="67" t="str">
        <f>IFERROR(__xludf.DUMMYFUNCTION("""COMPUTED_VALUE"""),"YOHAN YAMIL")</f>
        <v>YOHAN YAMIL</v>
      </c>
      <c r="E61" s="155">
        <f>IFERROR(__xludf.DUMMYFUNCTION("""COMPUTED_VALUE"""),8.0)</f>
        <v>8</v>
      </c>
      <c r="F61" s="155">
        <f>IFERROR(__xludf.DUMMYFUNCTION("""COMPUTED_VALUE"""),2.0)</f>
        <v>2</v>
      </c>
      <c r="G61" s="155"/>
      <c r="H61" s="156">
        <f>IFERROR(__xludf.DUMMYFUNCTION("""COMPUTED_VALUE"""),10.0)</f>
        <v>10</v>
      </c>
      <c r="I61" s="162">
        <f>IFERROR(__xludf.DUMMYFUNCTION("""COMPUTED_VALUE"""),0.0)</f>
        <v>0</v>
      </c>
      <c r="J61" s="158">
        <f>IFERROR(__xludf.DUMMYFUNCTION("""COMPUTED_VALUE"""),10.0)</f>
        <v>10</v>
      </c>
      <c r="K61" s="157"/>
      <c r="L61" s="161">
        <f>IFERROR(__xludf.DUMMYFUNCTION("""COMPUTED_VALUE"""),10.0)</f>
        <v>10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IFERROR(__xludf.DUMMYFUNCTION("""COMPUTED_VALUE"""),"VILORIO")</f>
        <v>VILORIO</v>
      </c>
      <c r="C62" s="66" t="str">
        <f>IFERROR(__xludf.DUMMYFUNCTION("""COMPUTED_VALUE"""),"VALLECILLO")</f>
        <v>VALLECILLO</v>
      </c>
      <c r="D62" s="67" t="str">
        <f>IFERROR(__xludf.DUMMYFUNCTION("""COMPUTED_VALUE"""),"KARLA IVETH")</f>
        <v>KARLA IVETH</v>
      </c>
      <c r="E62" s="155">
        <f>IFERROR(__xludf.DUMMYFUNCTION("""COMPUTED_VALUE"""),8.0)</f>
        <v>8</v>
      </c>
      <c r="F62" s="155">
        <f>IFERROR(__xludf.DUMMYFUNCTION("""COMPUTED_VALUE"""),2.0)</f>
        <v>2</v>
      </c>
      <c r="G62" s="155"/>
      <c r="H62" s="156">
        <f>IFERROR(__xludf.DUMMYFUNCTION("""COMPUTED_VALUE"""),10.0)</f>
        <v>10</v>
      </c>
      <c r="I62" s="162">
        <f>IFERROR(__xludf.DUMMYFUNCTION("""COMPUTED_VALUE"""),0.0)</f>
        <v>0</v>
      </c>
      <c r="J62" s="158">
        <f>IFERROR(__xludf.DUMMYFUNCTION("""COMPUTED_VALUE"""),10.0)</f>
        <v>10</v>
      </c>
      <c r="K62" s="157"/>
      <c r="L62" s="161">
        <f>IFERROR(__xludf.DUMMYFUNCTION("""COMPUTED_VALUE"""),10.0)</f>
        <v>10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IFERROR(__xludf.DUMMYFUNCTION("""COMPUTED_VALUE"""),"ZAMUDIO")</f>
        <v>ZAMUDIO</v>
      </c>
      <c r="C63" s="66" t="str">
        <f>IFERROR(__xludf.DUMMYFUNCTION("""COMPUTED_VALUE"""),"RUIZ")</f>
        <v>RUIZ</v>
      </c>
      <c r="D63" s="67" t="str">
        <f>IFERROR(__xludf.DUMMYFUNCTION("""COMPUTED_VALUE"""),"LEONARDO DAVID")</f>
        <v>LEONARDO DAVID</v>
      </c>
      <c r="E63" s="155">
        <f>IFERROR(__xludf.DUMMYFUNCTION("""COMPUTED_VALUE"""),8.0)</f>
        <v>8</v>
      </c>
      <c r="F63" s="155">
        <f>IFERROR(__xludf.DUMMYFUNCTION("""COMPUTED_VALUE"""),2.0)</f>
        <v>2</v>
      </c>
      <c r="G63" s="155"/>
      <c r="H63" s="156">
        <f>IFERROR(__xludf.DUMMYFUNCTION("""COMPUTED_VALUE"""),10.0)</f>
        <v>10</v>
      </c>
      <c r="I63" s="162">
        <f>IFERROR(__xludf.DUMMYFUNCTION("""COMPUTED_VALUE"""),0.0)</f>
        <v>0</v>
      </c>
      <c r="J63" s="158">
        <f>IFERROR(__xludf.DUMMYFUNCTION("""COMPUTED_VALUE"""),10.0)</f>
        <v>10</v>
      </c>
      <c r="K63" s="157"/>
      <c r="L63" s="161">
        <f>IFERROR(__xludf.DUMMYFUNCTION("""COMPUTED_VALUE"""),10.0)</f>
        <v>10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/>
      <c r="B64" s="163"/>
      <c r="C64" s="163"/>
      <c r="D64" s="127"/>
      <c r="E64" s="164"/>
      <c r="F64" s="164"/>
      <c r="G64" s="164"/>
      <c r="H64" s="164"/>
      <c r="I64" s="132"/>
      <c r="J64" s="165"/>
      <c r="K64" s="128"/>
      <c r="L64" s="165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 t="str">
        <f>IFERROR(__xludf.DUMMYFUNCTION("""COMPUTED_VALUE"""),"No. DE ALUMNOS INSCRITOS")</f>
        <v>No. DE ALUMNOS INSCRITOS</v>
      </c>
      <c r="C65" s="74"/>
      <c r="D65" s="202">
        <f>IFERROR(__xludf.DUMMYFUNCTION("""COMPUTED_VALUE"""),47.0)</f>
        <v>47</v>
      </c>
      <c r="E65" s="164"/>
      <c r="F65" s="168" t="str">
        <f>IFERROR(__xludf.DUMMYFUNCTION("""COMPUTED_VALUE"""),"FIRMA DEL PROFESOR")</f>
        <v>FIRMA DEL PROFESOR</v>
      </c>
      <c r="G65" s="164"/>
      <c r="H65" s="168" t="str">
        <f>IFERROR(__xludf.DUMMYFUNCTION("""COMPUTED_VALUE"""),"FIRMA DEL ORIENTADOR")</f>
        <v>FIRMA DEL ORIENTADOR</v>
      </c>
      <c r="J65" s="169" t="str">
        <f>IFERROR(__xludf.DUMMYFUNCTION("""COMPUTED_VALUE"""),"Vo. Bo. SUBDIRECCIÓN ESCOLAR")</f>
        <v>Vo. Bo. SUBDIRECCIÓN ESCOLAR</v>
      </c>
      <c r="K65" s="170" t="str">
        <f>IFERROR(__xludf.DUMMYFUNCTION("""COMPUTED_VALUE"""),"REVISADO POR SECRETARIA ESCOLAR ")</f>
        <v>REVISADO POR SECRETARIA ESCOLAR </v>
      </c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IFERROR(__xludf.DUMMYFUNCTION("""COMPUTED_VALUE"""),"BAJAS DURANTE EL SEMESTRE")</f>
        <v>BAJAS DURANTE EL SEMESTRE</v>
      </c>
      <c r="C66" s="81"/>
      <c r="D66" s="203">
        <f>IFERROR(__xludf.DUMMYFUNCTION("""COMPUTED_VALUE"""),0.0)</f>
        <v>0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IFERROR(__xludf.DUMMYFUNCTION("""COMPUTED_VALUE"""),"EXISTENCIA")</f>
        <v>EXISTENCIA</v>
      </c>
      <c r="C67" s="81"/>
      <c r="D67" s="179">
        <f>IFERROR(__xludf.DUMMYFUNCTION("""COMPUTED_VALUE"""),47.0)</f>
        <v>47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IFERROR(__xludf.DUMMYFUNCTION("""COMPUTED_VALUE"""),"No. DE ALUMNOS APROBADOS")</f>
        <v>No. DE ALUMNOS APROBADOS</v>
      </c>
      <c r="C68" s="81"/>
      <c r="D68" s="174">
        <f>IFERROR(__xludf.DUMMYFUNCTION("""COMPUTED_VALUE"""),45.0)</f>
        <v>45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REPROBADOS")</f>
        <v>No. DE ALUMNOS REPROBADOS</v>
      </c>
      <c r="C69" s="81"/>
      <c r="D69" s="174">
        <f>IFERROR(__xludf.DUMMYFUNCTION("""COMPUTED_VALUE"""),2.0)</f>
        <v>2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IFERROR(__xludf.DUMMYFUNCTION("""COMPUTED_VALUE"""),"% DE APROBADOS")</f>
        <v>% DE APROBADOS</v>
      </c>
      <c r="C70" s="81"/>
      <c r="D70" s="179">
        <f>IFERROR(__xludf.DUMMYFUNCTION("""COMPUTED_VALUE"""),95.74468085106383)</f>
        <v>95.74468085</v>
      </c>
      <c r="E70" s="127"/>
      <c r="F70" s="180" t="str">
        <f>IFERROR(__xludf.DUMMYFUNCTION("""COMPUTED_VALUE"""),"PROFR. ")</f>
        <v>PROFR. </v>
      </c>
      <c r="G70" s="130"/>
      <c r="H70" s="95" t="str">
        <f>IFERROR(__xludf.DUMMYFUNCTION("""COMPUTED_VALUE"""),"PROFRA. ANA ISABEL CORREA SALGADO")</f>
        <v>PROFRA. ANA ISABEL CORREA SALGADO</v>
      </c>
      <c r="J70" s="181" t="str">
        <f>IFERROR(__xludf.DUMMYFUNCTION("""COMPUTED_VALUE"""),"PROFR. OCTAVIO VÁZQUEZ BARRETO")</f>
        <v>PROFR. OCTAVIO VÁZQUEZ BARRETO</v>
      </c>
      <c r="K70" s="182" t="str">
        <f>IFERROR(__xludf.DUMMYFUNCTION("""COMPUTED_VALUE"""),"PROFR. ROBERTO PALOMARES MEJÍA ")</f>
        <v>PROFR. ROBERTO PALOMARES MEJÍA </v>
      </c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183" t="str">
        <f>IFERROR(__xludf.DUMMYFUNCTION("""COMPUTED_VALUE"""),"PROMEDIO")</f>
        <v>PROMEDIO</v>
      </c>
      <c r="C71" s="100"/>
      <c r="D71" s="184">
        <f>IFERROR(__xludf.DUMMYFUNCTION("""COMPUTED_VALUE"""),8.72340425531915)</f>
        <v>8.723404255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/>
      <c r="C72" s="121"/>
      <c r="D72" s="121"/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21" t="str">
        <f>IFERROR(__xludf.DUMMYFUNCTION("IMPORTRANGE(""https://docs.google.com/spreadsheets/d/1fKGazNVpBpa9ayL3aPl10gt6zPqOsT3bnK5RQC4-Tp8/edit?gid=868681460#gid=868681460"",""2-1 temas selectos de igualdad y derechos humanos !a1:q86"")"),"")</f>
        <v/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"/>
    </row>
    <row r="2" ht="15.0" customHeight="1">
      <c r="A2" s="122"/>
      <c r="B2" s="123"/>
      <c r="C2" s="123"/>
      <c r="D2" s="123"/>
      <c r="E2" s="124"/>
      <c r="F2" s="124"/>
      <c r="G2" s="124"/>
      <c r="H2" s="124"/>
      <c r="I2" s="124"/>
      <c r="J2" s="124"/>
      <c r="K2" s="12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"/>
    </row>
    <row r="3" ht="15.0" customHeight="1">
      <c r="A3" s="126"/>
      <c r="B3" s="127"/>
      <c r="C3" s="127"/>
      <c r="D3" s="127"/>
      <c r="E3" s="121"/>
      <c r="F3" s="121"/>
      <c r="G3" s="121"/>
      <c r="H3" s="121"/>
      <c r="I3" s="121"/>
      <c r="J3" s="121"/>
      <c r="K3" s="128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"/>
    </row>
    <row r="4" ht="15.0" customHeight="1">
      <c r="A4" s="126"/>
      <c r="B4" s="127"/>
      <c r="C4" s="127"/>
      <c r="D4" s="127"/>
      <c r="E4" s="121"/>
      <c r="F4" s="121"/>
      <c r="G4" s="121"/>
      <c r="H4" s="121"/>
      <c r="I4" s="121"/>
      <c r="J4" s="121"/>
      <c r="K4" s="128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"/>
    </row>
    <row r="5" ht="15.0" customHeight="1">
      <c r="A5" s="126"/>
      <c r="B5" s="127"/>
      <c r="C5" s="127"/>
      <c r="D5" s="127"/>
      <c r="E5" s="121"/>
      <c r="F5" s="121"/>
      <c r="G5" s="121"/>
      <c r="H5" s="121"/>
      <c r="I5" s="121"/>
      <c r="J5" s="121"/>
      <c r="K5" s="128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"/>
    </row>
    <row r="6" ht="15.0" customHeight="1">
      <c r="A6" s="126"/>
      <c r="B6" s="127"/>
      <c r="C6" s="127"/>
      <c r="D6" s="127"/>
      <c r="E6" s="121"/>
      <c r="F6" s="121"/>
      <c r="G6" s="121"/>
      <c r="H6" s="121"/>
      <c r="I6" s="121"/>
      <c r="J6" s="121"/>
      <c r="K6" s="128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"/>
    </row>
    <row r="7" ht="15.0" customHeight="1">
      <c r="A7" s="126"/>
      <c r="B7" s="127"/>
      <c r="C7" s="127"/>
      <c r="D7" s="127"/>
      <c r="E7" s="121"/>
      <c r="F7" s="121"/>
      <c r="G7" s="121"/>
      <c r="H7" s="121"/>
      <c r="I7" s="121"/>
      <c r="J7" s="121"/>
      <c r="K7" s="128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"/>
    </row>
    <row r="8" ht="9.75" customHeight="1">
      <c r="A8" s="126"/>
      <c r="B8" s="127"/>
      <c r="C8" s="127"/>
      <c r="D8" s="127"/>
      <c r="E8" s="121"/>
      <c r="F8" s="121"/>
      <c r="G8" s="121"/>
      <c r="H8" s="121"/>
      <c r="I8" s="121"/>
      <c r="J8" s="121"/>
      <c r="K8" s="128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"/>
    </row>
    <row r="9" ht="23.25" customHeight="1">
      <c r="A9" s="129" t="str">
        <f>IFERROR(__xludf.DUMMYFUNCTION("""COMPUTED_VALUE"""),"ESCUELA PREPARATORIA OFICIAL NÚM. 67")</f>
        <v>ESCUELA PREPARATORIA OFICIAL NÚM. 67</v>
      </c>
      <c r="K9" s="10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"/>
    </row>
    <row r="10" ht="9.75" customHeight="1">
      <c r="A10" s="126"/>
      <c r="B10" s="127"/>
      <c r="C10" s="127"/>
      <c r="D10" s="127"/>
      <c r="E10" s="130"/>
      <c r="K10" s="1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"/>
    </row>
    <row r="11" ht="19.5" customHeight="1">
      <c r="A11" s="126"/>
      <c r="B11" s="131" t="str">
        <f>IFERROR(__xludf.DUMMYFUNCTION("""COMPUTED_VALUE"""),"CONTROL PRIMER PARCIAL ")</f>
        <v>CONTROL PRIMER PARCIAL </v>
      </c>
      <c r="C11" s="132"/>
      <c r="D11" s="132"/>
      <c r="E11" s="121"/>
      <c r="F11" s="121"/>
      <c r="G11" s="121"/>
      <c r="H11" s="121"/>
      <c r="I11" s="121"/>
      <c r="J11" s="121"/>
      <c r="K11" s="128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"/>
    </row>
    <row r="12" ht="12.75" customHeight="1">
      <c r="A12" s="126"/>
      <c r="B12" s="127"/>
      <c r="C12" s="127"/>
      <c r="D12" s="127"/>
      <c r="E12" s="121"/>
      <c r="F12" s="121"/>
      <c r="G12" s="121"/>
      <c r="H12" s="121"/>
      <c r="I12" s="121"/>
      <c r="J12" s="121"/>
      <c r="K12" s="128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"/>
    </row>
    <row r="13" ht="32.25" customHeight="1">
      <c r="A13" s="133" t="str">
        <f>IFERROR(__xludf.DUMMYFUNCTION("""COMPUTED_VALUE"""),"PROFESOR (A): ")</f>
        <v>PROFESOR (A): </v>
      </c>
      <c r="B13" s="17"/>
      <c r="C13" s="134" t="str">
        <f>IFERROR(__xludf.DUMMYFUNCTION("""COMPUTED_VALUE"""),"IVÁN HERNÁNDEZ PÉREZ")</f>
        <v>IVÁN HERNÁNDEZ PÉREZ</v>
      </c>
      <c r="D13" s="17"/>
      <c r="E13" s="135" t="str">
        <f>IFERROR(__xludf.DUMMYFUNCTION("""COMPUTED_VALUE"""),"II")</f>
        <v>II</v>
      </c>
      <c r="F13" s="135" t="str">
        <f>IFERROR(__xludf.DUMMYFUNCTION("""COMPUTED_VALUE"""),"III")</f>
        <v>III</v>
      </c>
      <c r="G13" s="136" t="str">
        <f>IFERROR(__xludf.DUMMYFUNCTION("""COMPUTED_VALUE"""),"PUNTAJE EXTRA")</f>
        <v>PUNTAJE EXTRA</v>
      </c>
      <c r="H13" s="137">
        <f>IFERROR(__xludf.DUMMYFUNCTION("""COMPUTED_VALUE"""),1.0)</f>
        <v>1</v>
      </c>
      <c r="I13" s="117" t="str">
        <f>IFERROR(__xludf.DUMMYFUNCTION("""COMPUTED_VALUE"""),"CUARTO SEMESTRE
MATUTINO")</f>
        <v>CUARTO SEMESTRE
MATUTINO</v>
      </c>
      <c r="J13" s="23"/>
      <c r="K13" s="24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"/>
    </row>
    <row r="14" ht="35.25" customHeight="1">
      <c r="A14" s="138" t="str">
        <f>IFERROR(__xludf.DUMMYFUNCTION("""COMPUTED_VALUE"""),"UAC")</f>
        <v>UAC</v>
      </c>
      <c r="B14" s="139" t="str">
        <f>IFERROR(__xludf.DUMMYFUNCTION("""COMPUTED_VALUE"""),"TEMAS SELECTOS DE IGUALDAD Y DERECHOS HUMANOS IV")</f>
        <v>TEMAS SELECTOS DE IGUALDAD Y DERECHOS HUMANOS IV</v>
      </c>
      <c r="C14" s="27"/>
      <c r="D14" s="28"/>
      <c r="E14" s="140" t="str">
        <f>IFERROR(__xludf.DUMMYFUNCTION("""COMPUTED_VALUE"""),"Evaluación continua 80%")</f>
        <v>Evaluación continua 80%</v>
      </c>
      <c r="F14" s="141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"/>
    </row>
    <row r="15" ht="24.75" customHeight="1">
      <c r="A15" s="142" t="str">
        <f>IFERROR(__xludf.DUMMYFUNCTION("""COMPUTED_VALUE"""),"GRADO")</f>
        <v>GRADO</v>
      </c>
      <c r="B15" s="143" t="str">
        <f>IFERROR(__xludf.DUMMYFUNCTION("""COMPUTED_VALUE"""),"2°")</f>
        <v>2°</v>
      </c>
      <c r="C15" s="144" t="str">
        <f>IFERROR(__xludf.DUMMYFUNCTION("""COMPUTED_VALUE"""),"GRUPO")</f>
        <v>GRUPO</v>
      </c>
      <c r="D15" s="145">
        <f>IFERROR(__xludf.DUMMYFUNCTION("""COMPUTED_VALUE"""),1.0)</f>
        <v>1</v>
      </c>
      <c r="E15" s="32"/>
      <c r="F15" s="32"/>
      <c r="G15" s="39"/>
      <c r="H15" s="146"/>
      <c r="I15" s="147"/>
      <c r="J15" s="27"/>
      <c r="K15" s="42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"/>
    </row>
    <row r="16" ht="40.5" customHeight="1">
      <c r="A16" s="148" t="str">
        <f>IFERROR(__xludf.DUMMYFUNCTION("""COMPUTED_VALUE"""),"No.")</f>
        <v>No.</v>
      </c>
      <c r="B16" s="149" t="str">
        <f>IFERROR(__xludf.DUMMYFUNCTION("""COMPUTED_VALUE"""),"NOMBRE DEL ALUMNO")</f>
        <v>NOMBRE DEL ALUMNO</v>
      </c>
      <c r="C16" s="27"/>
      <c r="D16" s="28"/>
      <c r="E16" s="46"/>
      <c r="F16" s="46"/>
      <c r="G16" s="150"/>
      <c r="H16" s="151" t="str">
        <f>IFERROR(__xludf.DUMMYFUNCTION("""COMPUTED_VALUE"""),"Suma")</f>
        <v>Suma</v>
      </c>
      <c r="I16" s="152" t="str">
        <f>IFERROR(__xludf.DUMMYFUNCTION("""COMPUTED_VALUE"""),"Faltas")</f>
        <v>Faltas</v>
      </c>
      <c r="J16" s="152" t="str">
        <f>IFERROR(__xludf.DUMMYFUNCTION("""COMPUTED_VALUE"""),"Calificación Definitiva")</f>
        <v>Calificación Definitiva</v>
      </c>
      <c r="K16" s="153" t="str">
        <f>IFERROR(__xludf.DUMMYFUNCTION("""COMPUTED_VALUE"""),"FIRMA")</f>
        <v>FIRMA</v>
      </c>
      <c r="L16" s="152" t="str">
        <f>IFERROR(__xludf.DUMMYFUNCTION("""COMPUTED_VALUE"""),"Calificación Definitiva")</f>
        <v>Calificación Definitiva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"/>
    </row>
    <row r="17" ht="24.75" customHeight="1">
      <c r="A17" s="154">
        <f>IFERROR(__xludf.DUMMYFUNCTION("""COMPUTED_VALUE"""),1.0)</f>
        <v>1</v>
      </c>
      <c r="B17" s="52" t="str">
        <f>IFERROR(__xludf.DUMMYFUNCTION("""COMPUTED_VALUE"""),"ALONSO")</f>
        <v>ALONSO</v>
      </c>
      <c r="C17" s="53" t="str">
        <f>IFERROR(__xludf.DUMMYFUNCTION("""COMPUTED_VALUE"""),"GARCIA")</f>
        <v>GARCIA</v>
      </c>
      <c r="D17" s="54" t="str">
        <f>IFERROR(__xludf.DUMMYFUNCTION("""COMPUTED_VALUE"""),"PALOMA")</f>
        <v>PALOMA</v>
      </c>
      <c r="E17" s="155">
        <f>IFERROR(__xludf.DUMMYFUNCTION("""COMPUTED_VALUE"""),7.1)</f>
        <v>7.1</v>
      </c>
      <c r="F17" s="155">
        <f>IFERROR(__xludf.DUMMYFUNCTION("""COMPUTED_VALUE"""),2.0)</f>
        <v>2</v>
      </c>
      <c r="G17" s="155">
        <f>IFERROR(__xludf.DUMMYFUNCTION("""COMPUTED_VALUE"""),0.0)</f>
        <v>0</v>
      </c>
      <c r="H17" s="156">
        <f>IFERROR(__xludf.DUMMYFUNCTION("""COMPUTED_VALUE"""),9.1)</f>
        <v>9.1</v>
      </c>
      <c r="I17" s="157">
        <f>IFERROR(__xludf.DUMMYFUNCTION("""COMPUTED_VALUE"""),0.0)</f>
        <v>0</v>
      </c>
      <c r="J17" s="158">
        <f>IFERROR(__xludf.DUMMYFUNCTION("""COMPUTED_VALUE"""),9.0)</f>
        <v>9</v>
      </c>
      <c r="K17" s="159"/>
      <c r="L17" s="160">
        <f>IFERROR(__xludf.DUMMYFUNCTION("""COMPUTED_VALUE"""),9.0)</f>
        <v>9</v>
      </c>
      <c r="M17" s="121" t="str">
        <f>IFERROR(__xludf.DUMMYFUNCTION("""COMPUTED_VALUE"""),"HORAS IMPARTIDAS")</f>
        <v>HORAS IMPARTIDAS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"/>
    </row>
    <row r="18" ht="24.75" customHeight="1">
      <c r="A18" s="154">
        <f>IFERROR(__xludf.DUMMYFUNCTION("""COMPUTED_VALUE"""),2.0)</f>
        <v>2</v>
      </c>
      <c r="B18" s="62" t="str">
        <f>IFERROR(__xludf.DUMMYFUNCTION("""COMPUTED_VALUE"""),"ALVARADO")</f>
        <v>ALVARADO</v>
      </c>
      <c r="C18" s="53" t="str">
        <f>IFERROR(__xludf.DUMMYFUNCTION("""COMPUTED_VALUE"""),"TORRES")</f>
        <v>TORRES</v>
      </c>
      <c r="D18" s="63" t="str">
        <f>IFERROR(__xludf.DUMMYFUNCTION("""COMPUTED_VALUE"""),"VALERIA")</f>
        <v>VALERIA</v>
      </c>
      <c r="E18" s="155">
        <f>IFERROR(__xludf.DUMMYFUNCTION("""COMPUTED_VALUE"""),7.1)</f>
        <v>7.1</v>
      </c>
      <c r="F18" s="155">
        <f>IFERROR(__xludf.DUMMYFUNCTION("""COMPUTED_VALUE"""),2.0)</f>
        <v>2</v>
      </c>
      <c r="G18" s="155">
        <f>IFERROR(__xludf.DUMMYFUNCTION("""COMPUTED_VALUE"""),0.0)</f>
        <v>0</v>
      </c>
      <c r="H18" s="156">
        <f>IFERROR(__xludf.DUMMYFUNCTION("""COMPUTED_VALUE"""),9.1)</f>
        <v>9.1</v>
      </c>
      <c r="I18" s="157">
        <f>IFERROR(__xludf.DUMMYFUNCTION("""COMPUTED_VALUE"""),0.0)</f>
        <v>0</v>
      </c>
      <c r="J18" s="158">
        <f>IFERROR(__xludf.DUMMYFUNCTION("""COMPUTED_VALUE"""),9.0)</f>
        <v>9</v>
      </c>
      <c r="K18" s="157"/>
      <c r="L18" s="160">
        <f>IFERROR(__xludf.DUMMYFUNCTION("""COMPUTED_VALUE"""),9.0)</f>
        <v>9</v>
      </c>
      <c r="M18" s="121" t="str">
        <f>IFERROR(__xludf.DUMMYFUNCTION("""COMPUTED_VALUE"""),"Febrero")</f>
        <v>Febrero</v>
      </c>
      <c r="N18" s="121">
        <f>IFERROR(__xludf.DUMMYFUNCTION("""COMPUTED_VALUE"""),2.0)</f>
        <v>2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"/>
    </row>
    <row r="19" ht="24.75" customHeight="1">
      <c r="A19" s="154">
        <f>IFERROR(__xludf.DUMMYFUNCTION("""COMPUTED_VALUE"""),3.0)</f>
        <v>3</v>
      </c>
      <c r="B19" s="62" t="str">
        <f>IFERROR(__xludf.DUMMYFUNCTION("""COMPUTED_VALUE"""),"BAZA")</f>
        <v>BAZA</v>
      </c>
      <c r="C19" s="53" t="str">
        <f>IFERROR(__xludf.DUMMYFUNCTION("""COMPUTED_VALUE"""),"FLORES")</f>
        <v>FLORES</v>
      </c>
      <c r="D19" s="63" t="str">
        <f>IFERROR(__xludf.DUMMYFUNCTION("""COMPUTED_VALUE"""),"LANDER")</f>
        <v>LANDER</v>
      </c>
      <c r="E19" s="155">
        <f>IFERROR(__xludf.DUMMYFUNCTION("""COMPUTED_VALUE"""),8.0)</f>
        <v>8</v>
      </c>
      <c r="F19" s="155">
        <f>IFERROR(__xludf.DUMMYFUNCTION("""COMPUTED_VALUE"""),2.0)</f>
        <v>2</v>
      </c>
      <c r="G19" s="155">
        <f>IFERROR(__xludf.DUMMYFUNCTION("""COMPUTED_VALUE"""),0.0)</f>
        <v>0</v>
      </c>
      <c r="H19" s="156">
        <f>IFERROR(__xludf.DUMMYFUNCTION("""COMPUTED_VALUE"""),10.0)</f>
        <v>10</v>
      </c>
      <c r="I19" s="157">
        <f>IFERROR(__xludf.DUMMYFUNCTION("""COMPUTED_VALUE"""),0.0)</f>
        <v>0</v>
      </c>
      <c r="J19" s="158">
        <f>IFERROR(__xludf.DUMMYFUNCTION("""COMPUTED_VALUE"""),10.0)</f>
        <v>10</v>
      </c>
      <c r="K19" s="157"/>
      <c r="L19" s="160">
        <f>IFERROR(__xludf.DUMMYFUNCTION("""COMPUTED_VALUE"""),10.0)</f>
        <v>10</v>
      </c>
      <c r="M19" s="121" t="str">
        <f>IFERROR(__xludf.DUMMYFUNCTION("""COMPUTED_VALUE"""),"Marzo")</f>
        <v>Marzo</v>
      </c>
      <c r="N19" s="121">
        <f>IFERROR(__xludf.DUMMYFUNCTION("""COMPUTED_VALUE"""),4.0)</f>
        <v>4</v>
      </c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"/>
    </row>
    <row r="20" ht="24.75" customHeight="1">
      <c r="A20" s="154">
        <f>IFERROR(__xludf.DUMMYFUNCTION("""COMPUTED_VALUE"""),4.0)</f>
        <v>4</v>
      </c>
      <c r="B20" s="62" t="str">
        <f>IFERROR(__xludf.DUMMYFUNCTION("""COMPUTED_VALUE"""),"BENITEZ")</f>
        <v>BENITEZ</v>
      </c>
      <c r="C20" s="53" t="str">
        <f>IFERROR(__xludf.DUMMYFUNCTION("""COMPUTED_VALUE"""),"TORRES")</f>
        <v>TORRES</v>
      </c>
      <c r="D20" s="63" t="str">
        <f>IFERROR(__xludf.DUMMYFUNCTION("""COMPUTED_VALUE"""),"LUCIA CAROLINA")</f>
        <v>LUCIA CAROLINA</v>
      </c>
      <c r="E20" s="155">
        <f>IFERROR(__xludf.DUMMYFUNCTION("""COMPUTED_VALUE"""),6.3)</f>
        <v>6.3</v>
      </c>
      <c r="F20" s="155">
        <f>IFERROR(__xludf.DUMMYFUNCTION("""COMPUTED_VALUE"""),2.0)</f>
        <v>2</v>
      </c>
      <c r="G20" s="155">
        <f>IFERROR(__xludf.DUMMYFUNCTION("""COMPUTED_VALUE"""),0.0)</f>
        <v>0</v>
      </c>
      <c r="H20" s="156">
        <f>IFERROR(__xludf.DUMMYFUNCTION("""COMPUTED_VALUE"""),8.3)</f>
        <v>8.3</v>
      </c>
      <c r="I20" s="157">
        <f>IFERROR(__xludf.DUMMYFUNCTION("""COMPUTED_VALUE"""),0.0)</f>
        <v>0</v>
      </c>
      <c r="J20" s="158">
        <f>IFERROR(__xludf.DUMMYFUNCTION("""COMPUTED_VALUE"""),8.0)</f>
        <v>8</v>
      </c>
      <c r="K20" s="157"/>
      <c r="L20" s="160">
        <f>IFERROR(__xludf.DUMMYFUNCTION("""COMPUTED_VALUE"""),8.0)</f>
        <v>8</v>
      </c>
      <c r="M20" s="121" t="str">
        <f>IFERROR(__xludf.DUMMYFUNCTION("""COMPUTED_VALUE"""),"Abril")</f>
        <v>Abril</v>
      </c>
      <c r="N20" s="121">
        <f>IFERROR(__xludf.DUMMYFUNCTION("""COMPUTED_VALUE"""),3.0)</f>
        <v>3</v>
      </c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"/>
    </row>
    <row r="21" ht="24.75" customHeight="1">
      <c r="A21" s="154">
        <f>IFERROR(__xludf.DUMMYFUNCTION("""COMPUTED_VALUE"""),5.0)</f>
        <v>5</v>
      </c>
      <c r="B21" s="62" t="str">
        <f>IFERROR(__xludf.DUMMYFUNCTION("""COMPUTED_VALUE"""),"CALLEJAS")</f>
        <v>CALLEJAS</v>
      </c>
      <c r="C21" s="53" t="str">
        <f>IFERROR(__xludf.DUMMYFUNCTION("""COMPUTED_VALUE"""),"HERNANDEZ")</f>
        <v>HERNANDEZ</v>
      </c>
      <c r="D21" s="63" t="str">
        <f>IFERROR(__xludf.DUMMYFUNCTION("""COMPUTED_VALUE"""),"ARANZA MONSERRAT")</f>
        <v>ARANZA MONSERRAT</v>
      </c>
      <c r="E21" s="155">
        <f>IFERROR(__xludf.DUMMYFUNCTION("""COMPUTED_VALUE"""),7.3)</f>
        <v>7.3</v>
      </c>
      <c r="F21" s="155">
        <f>IFERROR(__xludf.DUMMYFUNCTION("""COMPUTED_VALUE"""),2.0)</f>
        <v>2</v>
      </c>
      <c r="G21" s="155">
        <f>IFERROR(__xludf.DUMMYFUNCTION("""COMPUTED_VALUE"""),0.0)</f>
        <v>0</v>
      </c>
      <c r="H21" s="156">
        <f>IFERROR(__xludf.DUMMYFUNCTION("""COMPUTED_VALUE"""),9.3)</f>
        <v>9.3</v>
      </c>
      <c r="I21" s="157">
        <f>IFERROR(__xludf.DUMMYFUNCTION("""COMPUTED_VALUE"""),0.0)</f>
        <v>0</v>
      </c>
      <c r="J21" s="158">
        <f>IFERROR(__xludf.DUMMYFUNCTION("""COMPUTED_VALUE"""),9.0)</f>
        <v>9</v>
      </c>
      <c r="K21" s="157"/>
      <c r="L21" s="160">
        <f>IFERROR(__xludf.DUMMYFUNCTION("""COMPUTED_VALUE"""),9.0)</f>
        <v>9</v>
      </c>
      <c r="M21" s="121" t="str">
        <f>IFERROR(__xludf.DUMMYFUNCTION("""COMPUTED_VALUE"""),"Mayo")</f>
        <v>Mayo</v>
      </c>
      <c r="N21" s="121">
        <f>IFERROR(__xludf.DUMMYFUNCTION("""COMPUTED_VALUE"""),3.0)</f>
        <v>3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"/>
    </row>
    <row r="22" ht="24.75" customHeight="1">
      <c r="A22" s="154">
        <f>IFERROR(__xludf.DUMMYFUNCTION("""COMPUTED_VALUE"""),6.0)</f>
        <v>6</v>
      </c>
      <c r="B22" s="62" t="str">
        <f>IFERROR(__xludf.DUMMYFUNCTION("""COMPUTED_VALUE"""),"CANO")</f>
        <v>CANO</v>
      </c>
      <c r="C22" s="53" t="str">
        <f>IFERROR(__xludf.DUMMYFUNCTION("""COMPUTED_VALUE"""),"LOPEZ")</f>
        <v>LOPEZ</v>
      </c>
      <c r="D22" s="63" t="str">
        <f>IFERROR(__xludf.DUMMYFUNCTION("""COMPUTED_VALUE"""),"GIOVANNI")</f>
        <v>GIOVANNI</v>
      </c>
      <c r="E22" s="155">
        <f>IFERROR(__xludf.DUMMYFUNCTION("""COMPUTED_VALUE"""),7.3)</f>
        <v>7.3</v>
      </c>
      <c r="F22" s="155">
        <f>IFERROR(__xludf.DUMMYFUNCTION("""COMPUTED_VALUE"""),2.0)</f>
        <v>2</v>
      </c>
      <c r="G22" s="155">
        <f>IFERROR(__xludf.DUMMYFUNCTION("""COMPUTED_VALUE"""),0.0)</f>
        <v>0</v>
      </c>
      <c r="H22" s="156">
        <f>IFERROR(__xludf.DUMMYFUNCTION("""COMPUTED_VALUE"""),9.3)</f>
        <v>9.3</v>
      </c>
      <c r="I22" s="157">
        <f>IFERROR(__xludf.DUMMYFUNCTION("""COMPUTED_VALUE"""),0.0)</f>
        <v>0</v>
      </c>
      <c r="J22" s="158">
        <f>IFERROR(__xludf.DUMMYFUNCTION("""COMPUTED_VALUE"""),9.0)</f>
        <v>9</v>
      </c>
      <c r="K22" s="157"/>
      <c r="L22" s="160">
        <f>IFERROR(__xludf.DUMMYFUNCTION("""COMPUTED_VALUE"""),9.0)</f>
        <v>9</v>
      </c>
      <c r="M22" s="121" t="str">
        <f>IFERROR(__xludf.DUMMYFUNCTION("""COMPUTED_VALUE"""),"Junio")</f>
        <v>Junio</v>
      </c>
      <c r="N22" s="121">
        <f>IFERROR(__xludf.DUMMYFUNCTION("""COMPUTED_VALUE"""),5.0)</f>
        <v>5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"/>
    </row>
    <row r="23" ht="24.75" customHeight="1">
      <c r="A23" s="154">
        <f>IFERROR(__xludf.DUMMYFUNCTION("""COMPUTED_VALUE"""),7.0)</f>
        <v>7</v>
      </c>
      <c r="B23" s="62" t="str">
        <f>IFERROR(__xludf.DUMMYFUNCTION("""COMPUTED_VALUE"""),"CERVANTES")</f>
        <v>CERVANTES</v>
      </c>
      <c r="C23" s="53" t="str">
        <f>IFERROR(__xludf.DUMMYFUNCTION("""COMPUTED_VALUE"""),"GARCÍA")</f>
        <v>GARCÍA</v>
      </c>
      <c r="D23" s="63" t="str">
        <f>IFERROR(__xludf.DUMMYFUNCTION("""COMPUTED_VALUE"""),"AURA FERNADA")</f>
        <v>AURA FERNADA</v>
      </c>
      <c r="E23" s="155">
        <f>IFERROR(__xludf.DUMMYFUNCTION("""COMPUTED_VALUE"""),6.1)</f>
        <v>6.1</v>
      </c>
      <c r="F23" s="155">
        <f>IFERROR(__xludf.DUMMYFUNCTION("""COMPUTED_VALUE"""),0.0)</f>
        <v>0</v>
      </c>
      <c r="G23" s="155">
        <f>IFERROR(__xludf.DUMMYFUNCTION("""COMPUTED_VALUE"""),0.0)</f>
        <v>0</v>
      </c>
      <c r="H23" s="156">
        <f>IFERROR(__xludf.DUMMYFUNCTION("""COMPUTED_VALUE"""),6.1)</f>
        <v>6.1</v>
      </c>
      <c r="I23" s="157">
        <f>IFERROR(__xludf.DUMMYFUNCTION("""COMPUTED_VALUE"""),0.0)</f>
        <v>0</v>
      </c>
      <c r="J23" s="158">
        <f>IFERROR(__xludf.DUMMYFUNCTION("""COMPUTED_VALUE"""),6.0)</f>
        <v>6</v>
      </c>
      <c r="K23" s="157"/>
      <c r="L23" s="160">
        <f>IFERROR(__xludf.DUMMYFUNCTION("""COMPUTED_VALUE"""),6.0)</f>
        <v>6</v>
      </c>
      <c r="M23" s="121" t="str">
        <f>IFERROR(__xludf.DUMMYFUNCTION("""COMPUTED_VALUE"""),"Julio")</f>
        <v>Julio</v>
      </c>
      <c r="N23" s="121">
        <f>IFERROR(__xludf.DUMMYFUNCTION("""COMPUTED_VALUE"""),2.0)</f>
        <v>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"/>
    </row>
    <row r="24" ht="24.75" customHeight="1">
      <c r="A24" s="154">
        <f>IFERROR(__xludf.DUMMYFUNCTION("""COMPUTED_VALUE"""),8.0)</f>
        <v>8</v>
      </c>
      <c r="B24" s="62" t="str">
        <f>IFERROR(__xludf.DUMMYFUNCTION("""COMPUTED_VALUE"""),"CHACALCO")</f>
        <v>CHACALCO</v>
      </c>
      <c r="C24" s="53" t="str">
        <f>IFERROR(__xludf.DUMMYFUNCTION("""COMPUTED_VALUE"""),"TREJO")</f>
        <v>TREJO</v>
      </c>
      <c r="D24" s="63" t="str">
        <f>IFERROR(__xludf.DUMMYFUNCTION("""COMPUTED_VALUE"""),"FRANCISCO RENEE")</f>
        <v>FRANCISCO RENEE</v>
      </c>
      <c r="E24" s="155">
        <f>IFERROR(__xludf.DUMMYFUNCTION("""COMPUTED_VALUE"""),7.1)</f>
        <v>7.1</v>
      </c>
      <c r="F24" s="155">
        <f>IFERROR(__xludf.DUMMYFUNCTION("""COMPUTED_VALUE"""),0.0)</f>
        <v>0</v>
      </c>
      <c r="G24" s="155">
        <f>IFERROR(__xludf.DUMMYFUNCTION("""COMPUTED_VALUE"""),0.0)</f>
        <v>0</v>
      </c>
      <c r="H24" s="156">
        <f>IFERROR(__xludf.DUMMYFUNCTION("""COMPUTED_VALUE"""),7.1)</f>
        <v>7.1</v>
      </c>
      <c r="I24" s="157">
        <f>IFERROR(__xludf.DUMMYFUNCTION("""COMPUTED_VALUE"""),0.0)</f>
        <v>0</v>
      </c>
      <c r="J24" s="158">
        <f>IFERROR(__xludf.DUMMYFUNCTION("""COMPUTED_VALUE"""),7.0)</f>
        <v>7</v>
      </c>
      <c r="K24" s="157"/>
      <c r="L24" s="160">
        <f>IFERROR(__xludf.DUMMYFUNCTION("""COMPUTED_VALUE"""),7.0)</f>
        <v>7</v>
      </c>
      <c r="M24" s="121" t="str">
        <f>IFERROR(__xludf.DUMMYFUNCTION("""COMPUTED_VALUE"""),"TOTAL")</f>
        <v>TOTAL</v>
      </c>
      <c r="N24" s="121">
        <f>IFERROR(__xludf.DUMMYFUNCTION("""COMPUTED_VALUE"""),19.0)</f>
        <v>19</v>
      </c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"/>
    </row>
    <row r="25" ht="24.75" customHeight="1">
      <c r="A25" s="154">
        <f>IFERROR(__xludf.DUMMYFUNCTION("""COMPUTED_VALUE"""),9.0)</f>
        <v>9</v>
      </c>
      <c r="B25" s="62" t="str">
        <f>IFERROR(__xludf.DUMMYFUNCTION("""COMPUTED_VALUE"""),"CONTRERAS")</f>
        <v>CONTRERAS</v>
      </c>
      <c r="C25" s="53" t="str">
        <f>IFERROR(__xludf.DUMMYFUNCTION("""COMPUTED_VALUE"""),"FLORES")</f>
        <v>FLORES</v>
      </c>
      <c r="D25" s="63" t="str">
        <f>IFERROR(__xludf.DUMMYFUNCTION("""COMPUTED_VALUE"""),"NATALIA")</f>
        <v>NATALIA</v>
      </c>
      <c r="E25" s="155">
        <f>IFERROR(__xludf.DUMMYFUNCTION("""COMPUTED_VALUE"""),7.3)</f>
        <v>7.3</v>
      </c>
      <c r="F25" s="155">
        <f>IFERROR(__xludf.DUMMYFUNCTION("""COMPUTED_VALUE"""),2.0)</f>
        <v>2</v>
      </c>
      <c r="G25" s="155">
        <f>IFERROR(__xludf.DUMMYFUNCTION("""COMPUTED_VALUE"""),0.0)</f>
        <v>0</v>
      </c>
      <c r="H25" s="156">
        <f>IFERROR(__xludf.DUMMYFUNCTION("""COMPUTED_VALUE"""),9.3)</f>
        <v>9.3</v>
      </c>
      <c r="I25" s="157">
        <f>IFERROR(__xludf.DUMMYFUNCTION("""COMPUTED_VALUE"""),0.0)</f>
        <v>0</v>
      </c>
      <c r="J25" s="158">
        <f>IFERROR(__xludf.DUMMYFUNCTION("""COMPUTED_VALUE"""),9.0)</f>
        <v>9</v>
      </c>
      <c r="K25" s="157"/>
      <c r="L25" s="160">
        <f>IFERROR(__xludf.DUMMYFUNCTION("""COMPUTED_VALUE"""),9.0)</f>
        <v>9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"/>
    </row>
    <row r="26" ht="24.75" customHeight="1">
      <c r="A26" s="154">
        <f>IFERROR(__xludf.DUMMYFUNCTION("""COMPUTED_VALUE"""),10.0)</f>
        <v>10</v>
      </c>
      <c r="B26" s="62" t="str">
        <f>IFERROR(__xludf.DUMMYFUNCTION("""COMPUTED_VALUE"""),"DIAZ")</f>
        <v>DIAZ</v>
      </c>
      <c r="C26" s="53" t="str">
        <f>IFERROR(__xludf.DUMMYFUNCTION("""COMPUTED_VALUE"""),"SANCHEZ")</f>
        <v>SANCHEZ</v>
      </c>
      <c r="D26" s="63" t="str">
        <f>IFERROR(__xludf.DUMMYFUNCTION("""COMPUTED_VALUE"""),"CHRISTIAN OMAR")</f>
        <v>CHRISTIAN OMAR</v>
      </c>
      <c r="E26" s="155">
        <f>IFERROR(__xludf.DUMMYFUNCTION("""COMPUTED_VALUE"""),0.0)</f>
        <v>0</v>
      </c>
      <c r="F26" s="155">
        <f>IFERROR(__xludf.DUMMYFUNCTION("""COMPUTED_VALUE"""),0.0)</f>
        <v>0</v>
      </c>
      <c r="G26" s="155">
        <f>IFERROR(__xludf.DUMMYFUNCTION("""COMPUTED_VALUE"""),0.0)</f>
        <v>0</v>
      </c>
      <c r="H26" s="156">
        <f>IFERROR(__xludf.DUMMYFUNCTION("""COMPUTED_VALUE"""),0.0)</f>
        <v>0</v>
      </c>
      <c r="I26" s="157">
        <f>IFERROR(__xludf.DUMMYFUNCTION("""COMPUTED_VALUE"""),0.0)</f>
        <v>0</v>
      </c>
      <c r="J26" s="158">
        <f>IFERROR(__xludf.DUMMYFUNCTION("""COMPUTED_VALUE"""),5.0)</f>
        <v>5</v>
      </c>
      <c r="K26" s="157"/>
      <c r="L26" s="160">
        <f>IFERROR(__xludf.DUMMYFUNCTION("""COMPUTED_VALUE"""),0.0)</f>
        <v>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"/>
    </row>
    <row r="27" ht="24.75" customHeight="1">
      <c r="A27" s="154">
        <f>IFERROR(__xludf.DUMMYFUNCTION("""COMPUTED_VALUE"""),11.0)</f>
        <v>11</v>
      </c>
      <c r="B27" s="62" t="str">
        <f>IFERROR(__xludf.DUMMYFUNCTION("""COMPUTED_VALUE"""),"FLORES")</f>
        <v>FLORES</v>
      </c>
      <c r="C27" s="53" t="str">
        <f>IFERROR(__xludf.DUMMYFUNCTION("""COMPUTED_VALUE"""),"MONZALVO")</f>
        <v>MONZALVO</v>
      </c>
      <c r="D27" s="53" t="str">
        <f>IFERROR(__xludf.DUMMYFUNCTION("""COMPUTED_VALUE"""),"LEONARDO DAVID")</f>
        <v>LEONARDO DAVID</v>
      </c>
      <c r="E27" s="155">
        <f>IFERROR(__xludf.DUMMYFUNCTION("""COMPUTED_VALUE"""),7.3)</f>
        <v>7.3</v>
      </c>
      <c r="F27" s="155">
        <f>IFERROR(__xludf.DUMMYFUNCTION("""COMPUTED_VALUE"""),2.0)</f>
        <v>2</v>
      </c>
      <c r="G27" s="155">
        <f>IFERROR(__xludf.DUMMYFUNCTION("""COMPUTED_VALUE"""),0.0)</f>
        <v>0</v>
      </c>
      <c r="H27" s="156">
        <f>IFERROR(__xludf.DUMMYFUNCTION("""COMPUTED_VALUE"""),9.3)</f>
        <v>9.3</v>
      </c>
      <c r="I27" s="157">
        <f>IFERROR(__xludf.DUMMYFUNCTION("""COMPUTED_VALUE"""),0.0)</f>
        <v>0</v>
      </c>
      <c r="J27" s="158">
        <f>IFERROR(__xludf.DUMMYFUNCTION("""COMPUTED_VALUE"""),9.0)</f>
        <v>9</v>
      </c>
      <c r="K27" s="157"/>
      <c r="L27" s="160">
        <f>IFERROR(__xludf.DUMMYFUNCTION("""COMPUTED_VALUE"""),9.0)</f>
        <v>9</v>
      </c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"/>
    </row>
    <row r="28" ht="24.75" customHeight="1">
      <c r="A28" s="154">
        <f>IFERROR(__xludf.DUMMYFUNCTION("""COMPUTED_VALUE"""),12.0)</f>
        <v>12</v>
      </c>
      <c r="B28" s="62" t="str">
        <f>IFERROR(__xludf.DUMMYFUNCTION("""COMPUTED_VALUE"""),"GARCIA")</f>
        <v>GARCIA</v>
      </c>
      <c r="C28" s="53" t="str">
        <f>IFERROR(__xludf.DUMMYFUNCTION("""COMPUTED_VALUE"""),"CERINO")</f>
        <v>CERINO</v>
      </c>
      <c r="D28" s="64" t="str">
        <f>IFERROR(__xludf.DUMMYFUNCTION("""COMPUTED_VALUE"""),"RODRIGO EMMANUEL")</f>
        <v>RODRIGO EMMANUEL</v>
      </c>
      <c r="E28" s="155">
        <f>IFERROR(__xludf.DUMMYFUNCTION("""COMPUTED_VALUE"""),8.0)</f>
        <v>8</v>
      </c>
      <c r="F28" s="155">
        <f>IFERROR(__xludf.DUMMYFUNCTION("""COMPUTED_VALUE"""),2.0)</f>
        <v>2</v>
      </c>
      <c r="G28" s="155">
        <f>IFERROR(__xludf.DUMMYFUNCTION("""COMPUTED_VALUE"""),0.0)</f>
        <v>0</v>
      </c>
      <c r="H28" s="156">
        <f>IFERROR(__xludf.DUMMYFUNCTION("""COMPUTED_VALUE"""),10.0)</f>
        <v>10</v>
      </c>
      <c r="I28" s="157">
        <f>IFERROR(__xludf.DUMMYFUNCTION("""COMPUTED_VALUE"""),0.0)</f>
        <v>0</v>
      </c>
      <c r="J28" s="158">
        <f>IFERROR(__xludf.DUMMYFUNCTION("""COMPUTED_VALUE"""),10.0)</f>
        <v>10</v>
      </c>
      <c r="K28" s="157"/>
      <c r="L28" s="160">
        <f>IFERROR(__xludf.DUMMYFUNCTION("""COMPUTED_VALUE"""),10.0)</f>
        <v>10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"/>
    </row>
    <row r="29" ht="24.75" customHeight="1">
      <c r="A29" s="154">
        <f>IFERROR(__xludf.DUMMYFUNCTION("""COMPUTED_VALUE"""),13.0)</f>
        <v>13</v>
      </c>
      <c r="B29" s="62" t="str">
        <f>IFERROR(__xludf.DUMMYFUNCTION("""COMPUTED_VALUE"""),"GONZALEZ")</f>
        <v>GONZALEZ</v>
      </c>
      <c r="C29" s="53" t="str">
        <f>IFERROR(__xludf.DUMMYFUNCTION("""COMPUTED_VALUE"""),"GARCIA")</f>
        <v>GARCIA</v>
      </c>
      <c r="D29" s="63" t="str">
        <f>IFERROR(__xludf.DUMMYFUNCTION("""COMPUTED_VALUE"""),"MAURICIO")</f>
        <v>MAURICIO</v>
      </c>
      <c r="E29" s="155">
        <f>IFERROR(__xludf.DUMMYFUNCTION("""COMPUTED_VALUE"""),5.3)</f>
        <v>5.3</v>
      </c>
      <c r="F29" s="155">
        <f>IFERROR(__xludf.DUMMYFUNCTION("""COMPUTED_VALUE"""),0.0)</f>
        <v>0</v>
      </c>
      <c r="G29" s="155">
        <f>IFERROR(__xludf.DUMMYFUNCTION("""COMPUTED_VALUE"""),0.0)</f>
        <v>0</v>
      </c>
      <c r="H29" s="156">
        <f>IFERROR(__xludf.DUMMYFUNCTION("""COMPUTED_VALUE"""),5.3)</f>
        <v>5.3</v>
      </c>
      <c r="I29" s="157">
        <f>IFERROR(__xludf.DUMMYFUNCTION("""COMPUTED_VALUE"""),0.0)</f>
        <v>0</v>
      </c>
      <c r="J29" s="158">
        <f>IFERROR(__xludf.DUMMYFUNCTION("""COMPUTED_VALUE"""),5.0)</f>
        <v>5</v>
      </c>
      <c r="K29" s="157"/>
      <c r="L29" s="160">
        <f>IFERROR(__xludf.DUMMYFUNCTION("""COMPUTED_VALUE"""),5.0)</f>
        <v>5</v>
      </c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"/>
    </row>
    <row r="30" ht="24.75" customHeight="1">
      <c r="A30" s="154">
        <f>IFERROR(__xludf.DUMMYFUNCTION("""COMPUTED_VALUE"""),14.0)</f>
        <v>14</v>
      </c>
      <c r="B30" s="62" t="str">
        <f>IFERROR(__xludf.DUMMYFUNCTION("""COMPUTED_VALUE"""),"GONZALEZ")</f>
        <v>GONZALEZ</v>
      </c>
      <c r="C30" s="53" t="str">
        <f>IFERROR(__xludf.DUMMYFUNCTION("""COMPUTED_VALUE"""),"RUIZ")</f>
        <v>RUIZ</v>
      </c>
      <c r="D30" s="63" t="str">
        <f>IFERROR(__xludf.DUMMYFUNCTION("""COMPUTED_VALUE"""),"ALISSON AILEEN")</f>
        <v>ALISSON AILEEN</v>
      </c>
      <c r="E30" s="155">
        <f>IFERROR(__xludf.DUMMYFUNCTION("""COMPUTED_VALUE"""),2.8)</f>
        <v>2.8</v>
      </c>
      <c r="F30" s="155">
        <f>IFERROR(__xludf.DUMMYFUNCTION("""COMPUTED_VALUE"""),0.0)</f>
        <v>0</v>
      </c>
      <c r="G30" s="155">
        <f>IFERROR(__xludf.DUMMYFUNCTION("""COMPUTED_VALUE"""),0.0)</f>
        <v>0</v>
      </c>
      <c r="H30" s="156">
        <f>IFERROR(__xludf.DUMMYFUNCTION("""COMPUTED_VALUE"""),2.8)</f>
        <v>2.8</v>
      </c>
      <c r="I30" s="157">
        <f>IFERROR(__xludf.DUMMYFUNCTION("""COMPUTED_VALUE"""),0.0)</f>
        <v>0</v>
      </c>
      <c r="J30" s="158">
        <f>IFERROR(__xludf.DUMMYFUNCTION("""COMPUTED_VALUE"""),5.0)</f>
        <v>5</v>
      </c>
      <c r="K30" s="157"/>
      <c r="L30" s="160">
        <f>IFERROR(__xludf.DUMMYFUNCTION("""COMPUTED_VALUE"""),2.0)</f>
        <v>2</v>
      </c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"/>
    </row>
    <row r="31" ht="24.75" customHeight="1">
      <c r="A31" s="154">
        <f>IFERROR(__xludf.DUMMYFUNCTION("""COMPUTED_VALUE"""),15.0)</f>
        <v>15</v>
      </c>
      <c r="B31" s="62" t="str">
        <f>IFERROR(__xludf.DUMMYFUNCTION("""COMPUTED_VALUE"""),"GONZALEZ")</f>
        <v>GONZALEZ</v>
      </c>
      <c r="C31" s="53" t="str">
        <f>IFERROR(__xludf.DUMMYFUNCTION("""COMPUTED_VALUE"""),"SORIA")</f>
        <v>SORIA</v>
      </c>
      <c r="D31" s="63" t="str">
        <f>IFERROR(__xludf.DUMMYFUNCTION("""COMPUTED_VALUE"""),"VALERIA")</f>
        <v>VALERIA</v>
      </c>
      <c r="E31" s="155">
        <f>IFERROR(__xludf.DUMMYFUNCTION("""COMPUTED_VALUE"""),7.3)</f>
        <v>7.3</v>
      </c>
      <c r="F31" s="155">
        <f>IFERROR(__xludf.DUMMYFUNCTION("""COMPUTED_VALUE"""),2.0)</f>
        <v>2</v>
      </c>
      <c r="G31" s="155">
        <f>IFERROR(__xludf.DUMMYFUNCTION("""COMPUTED_VALUE"""),0.0)</f>
        <v>0</v>
      </c>
      <c r="H31" s="156">
        <f>IFERROR(__xludf.DUMMYFUNCTION("""COMPUTED_VALUE"""),9.3)</f>
        <v>9.3</v>
      </c>
      <c r="I31" s="157">
        <f>IFERROR(__xludf.DUMMYFUNCTION("""COMPUTED_VALUE"""),0.0)</f>
        <v>0</v>
      </c>
      <c r="J31" s="158">
        <f>IFERROR(__xludf.DUMMYFUNCTION("""COMPUTED_VALUE"""),9.0)</f>
        <v>9</v>
      </c>
      <c r="K31" s="157"/>
      <c r="L31" s="160">
        <f>IFERROR(__xludf.DUMMYFUNCTION("""COMPUTED_VALUE"""),9.0)</f>
        <v>9</v>
      </c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"/>
    </row>
    <row r="32" ht="24.75" customHeight="1">
      <c r="A32" s="154">
        <f>IFERROR(__xludf.DUMMYFUNCTION("""COMPUTED_VALUE"""),16.0)</f>
        <v>16</v>
      </c>
      <c r="B32" s="62" t="str">
        <f>IFERROR(__xludf.DUMMYFUNCTION("""COMPUTED_VALUE"""),"GUEVARA")</f>
        <v>GUEVARA</v>
      </c>
      <c r="C32" s="53" t="str">
        <f>IFERROR(__xludf.DUMMYFUNCTION("""COMPUTED_VALUE"""),"MOJICA")</f>
        <v>MOJICA</v>
      </c>
      <c r="D32" s="63" t="str">
        <f>IFERROR(__xludf.DUMMYFUNCTION("""COMPUTED_VALUE"""),"CARLO YESHUA")</f>
        <v>CARLO YESHUA</v>
      </c>
      <c r="E32" s="155">
        <f>IFERROR(__xludf.DUMMYFUNCTION("""COMPUTED_VALUE"""),6.3)</f>
        <v>6.3</v>
      </c>
      <c r="F32" s="155">
        <f>IFERROR(__xludf.DUMMYFUNCTION("""COMPUTED_VALUE"""),2.0)</f>
        <v>2</v>
      </c>
      <c r="G32" s="155">
        <f>IFERROR(__xludf.DUMMYFUNCTION("""COMPUTED_VALUE"""),0.0)</f>
        <v>0</v>
      </c>
      <c r="H32" s="156">
        <f>IFERROR(__xludf.DUMMYFUNCTION("""COMPUTED_VALUE"""),8.3)</f>
        <v>8.3</v>
      </c>
      <c r="I32" s="157">
        <f>IFERROR(__xludf.DUMMYFUNCTION("""COMPUTED_VALUE"""),0.0)</f>
        <v>0</v>
      </c>
      <c r="J32" s="158">
        <f>IFERROR(__xludf.DUMMYFUNCTION("""COMPUTED_VALUE"""),8.0)</f>
        <v>8</v>
      </c>
      <c r="K32" s="157"/>
      <c r="L32" s="160">
        <f>IFERROR(__xludf.DUMMYFUNCTION("""COMPUTED_VALUE"""),8.0)</f>
        <v>8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"/>
    </row>
    <row r="33" ht="24.75" customHeight="1">
      <c r="A33" s="154">
        <f>IFERROR(__xludf.DUMMYFUNCTION("""COMPUTED_VALUE"""),17.0)</f>
        <v>17</v>
      </c>
      <c r="B33" s="62" t="str">
        <f>IFERROR(__xludf.DUMMYFUNCTION("""COMPUTED_VALUE"""),"LIAHUT")</f>
        <v>LIAHUT</v>
      </c>
      <c r="C33" s="53" t="str">
        <f>IFERROR(__xludf.DUMMYFUNCTION("""COMPUTED_VALUE"""),"TINAJERO")</f>
        <v>TINAJERO</v>
      </c>
      <c r="D33" s="63" t="str">
        <f>IFERROR(__xludf.DUMMYFUNCTION("""COMPUTED_VALUE"""),"INGRID MAYTHE")</f>
        <v>INGRID MAYTHE</v>
      </c>
      <c r="E33" s="155">
        <f>IFERROR(__xludf.DUMMYFUNCTION("""COMPUTED_VALUE"""),7.3)</f>
        <v>7.3</v>
      </c>
      <c r="F33" s="155">
        <f>IFERROR(__xludf.DUMMYFUNCTION("""COMPUTED_VALUE"""),2.0)</f>
        <v>2</v>
      </c>
      <c r="G33" s="155">
        <f>IFERROR(__xludf.DUMMYFUNCTION("""COMPUTED_VALUE"""),0.0)</f>
        <v>0</v>
      </c>
      <c r="H33" s="156">
        <f>IFERROR(__xludf.DUMMYFUNCTION("""COMPUTED_VALUE"""),9.3)</f>
        <v>9.3</v>
      </c>
      <c r="I33" s="157">
        <f>IFERROR(__xludf.DUMMYFUNCTION("""COMPUTED_VALUE"""),0.0)</f>
        <v>0</v>
      </c>
      <c r="J33" s="158">
        <f>IFERROR(__xludf.DUMMYFUNCTION("""COMPUTED_VALUE"""),9.0)</f>
        <v>9</v>
      </c>
      <c r="K33" s="157"/>
      <c r="L33" s="160">
        <f>IFERROR(__xludf.DUMMYFUNCTION("""COMPUTED_VALUE"""),9.0)</f>
        <v>9</v>
      </c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"/>
    </row>
    <row r="34" ht="24.75" customHeight="1">
      <c r="A34" s="154">
        <f>IFERROR(__xludf.DUMMYFUNCTION("""COMPUTED_VALUE"""),18.0)</f>
        <v>18</v>
      </c>
      <c r="B34" s="62" t="str">
        <f>IFERROR(__xludf.DUMMYFUNCTION("""COMPUTED_VALUE"""),"LOPEZ")</f>
        <v>LOPEZ</v>
      </c>
      <c r="C34" s="53" t="str">
        <f>IFERROR(__xludf.DUMMYFUNCTION("""COMPUTED_VALUE"""),"PADILLA")</f>
        <v>PADILLA</v>
      </c>
      <c r="D34" s="63" t="str">
        <f>IFERROR(__xludf.DUMMYFUNCTION("""COMPUTED_VALUE"""),"BENJAMIN")</f>
        <v>BENJAMIN</v>
      </c>
      <c r="E34" s="155">
        <f>IFERROR(__xludf.DUMMYFUNCTION("""COMPUTED_VALUE"""),8.0)</f>
        <v>8</v>
      </c>
      <c r="F34" s="155">
        <f>IFERROR(__xludf.DUMMYFUNCTION("""COMPUTED_VALUE"""),2.0)</f>
        <v>2</v>
      </c>
      <c r="G34" s="155">
        <f>IFERROR(__xludf.DUMMYFUNCTION("""COMPUTED_VALUE"""),0.0)</f>
        <v>0</v>
      </c>
      <c r="H34" s="156">
        <f>IFERROR(__xludf.DUMMYFUNCTION("""COMPUTED_VALUE"""),10.0)</f>
        <v>10</v>
      </c>
      <c r="I34" s="157">
        <f>IFERROR(__xludf.DUMMYFUNCTION("""COMPUTED_VALUE"""),0.0)</f>
        <v>0</v>
      </c>
      <c r="J34" s="158">
        <f>IFERROR(__xludf.DUMMYFUNCTION("""COMPUTED_VALUE"""),10.0)</f>
        <v>10</v>
      </c>
      <c r="K34" s="157"/>
      <c r="L34" s="160">
        <f>IFERROR(__xludf.DUMMYFUNCTION("""COMPUTED_VALUE"""),10.0)</f>
        <v>10</v>
      </c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"/>
    </row>
    <row r="35" ht="24.75" customHeight="1">
      <c r="A35" s="154">
        <f>IFERROR(__xludf.DUMMYFUNCTION("""COMPUTED_VALUE"""),19.0)</f>
        <v>19</v>
      </c>
      <c r="B35" s="62" t="str">
        <f>IFERROR(__xludf.DUMMYFUNCTION("""COMPUTED_VALUE"""),"LOPEZ")</f>
        <v>LOPEZ</v>
      </c>
      <c r="C35" s="53" t="str">
        <f>IFERROR(__xludf.DUMMYFUNCTION("""COMPUTED_VALUE"""),"SANTOS")</f>
        <v>SANTOS</v>
      </c>
      <c r="D35" s="63" t="str">
        <f>IFERROR(__xludf.DUMMYFUNCTION("""COMPUTED_VALUE"""),"CAROLINA")</f>
        <v>CAROLINA</v>
      </c>
      <c r="E35" s="155">
        <f>IFERROR(__xludf.DUMMYFUNCTION("""COMPUTED_VALUE"""),7.3)</f>
        <v>7.3</v>
      </c>
      <c r="F35" s="155">
        <f>IFERROR(__xludf.DUMMYFUNCTION("""COMPUTED_VALUE"""),2.0)</f>
        <v>2</v>
      </c>
      <c r="G35" s="155">
        <f>IFERROR(__xludf.DUMMYFUNCTION("""COMPUTED_VALUE"""),0.0)</f>
        <v>0</v>
      </c>
      <c r="H35" s="156">
        <f>IFERROR(__xludf.DUMMYFUNCTION("""COMPUTED_VALUE"""),9.3)</f>
        <v>9.3</v>
      </c>
      <c r="I35" s="157">
        <f>IFERROR(__xludf.DUMMYFUNCTION("""COMPUTED_VALUE"""),0.0)</f>
        <v>0</v>
      </c>
      <c r="J35" s="158">
        <f>IFERROR(__xludf.DUMMYFUNCTION("""COMPUTED_VALUE"""),9.0)</f>
        <v>9</v>
      </c>
      <c r="K35" s="157"/>
      <c r="L35" s="160">
        <f>IFERROR(__xludf.DUMMYFUNCTION("""COMPUTED_VALUE"""),9.0)</f>
        <v>9</v>
      </c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"/>
    </row>
    <row r="36" ht="24.75" customHeight="1">
      <c r="A36" s="154">
        <f>IFERROR(__xludf.DUMMYFUNCTION("""COMPUTED_VALUE"""),20.0)</f>
        <v>20</v>
      </c>
      <c r="B36" s="62" t="str">
        <f>IFERROR(__xludf.DUMMYFUNCTION("""COMPUTED_VALUE"""),"MACIAS")</f>
        <v>MACIAS</v>
      </c>
      <c r="C36" s="53" t="str">
        <f>IFERROR(__xludf.DUMMYFUNCTION("""COMPUTED_VALUE"""),"CORONA")</f>
        <v>CORONA</v>
      </c>
      <c r="D36" s="63" t="str">
        <f>IFERROR(__xludf.DUMMYFUNCTION("""COMPUTED_VALUE"""),"MONICA REGINA")</f>
        <v>MONICA REGINA</v>
      </c>
      <c r="E36" s="155">
        <f>IFERROR(__xludf.DUMMYFUNCTION("""COMPUTED_VALUE"""),7.3)</f>
        <v>7.3</v>
      </c>
      <c r="F36" s="155">
        <f>IFERROR(__xludf.DUMMYFUNCTION("""COMPUTED_VALUE"""),2.0)</f>
        <v>2</v>
      </c>
      <c r="G36" s="155">
        <f>IFERROR(__xludf.DUMMYFUNCTION("""COMPUTED_VALUE"""),0.0)</f>
        <v>0</v>
      </c>
      <c r="H36" s="156">
        <f>IFERROR(__xludf.DUMMYFUNCTION("""COMPUTED_VALUE"""),9.3)</f>
        <v>9.3</v>
      </c>
      <c r="I36" s="157">
        <f>IFERROR(__xludf.DUMMYFUNCTION("""COMPUTED_VALUE"""),0.0)</f>
        <v>0</v>
      </c>
      <c r="J36" s="158">
        <f>IFERROR(__xludf.DUMMYFUNCTION("""COMPUTED_VALUE"""),9.0)</f>
        <v>9</v>
      </c>
      <c r="K36" s="157"/>
      <c r="L36" s="160">
        <f>IFERROR(__xludf.DUMMYFUNCTION("""COMPUTED_VALUE"""),9.0)</f>
        <v>9</v>
      </c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"/>
    </row>
    <row r="37" ht="24.75" customHeight="1">
      <c r="A37" s="154">
        <f>IFERROR(__xludf.DUMMYFUNCTION("""COMPUTED_VALUE"""),21.0)</f>
        <v>21</v>
      </c>
      <c r="B37" s="62" t="str">
        <f>IFERROR(__xludf.DUMMYFUNCTION("""COMPUTED_VALUE"""),"MARTINEZ")</f>
        <v>MARTINEZ</v>
      </c>
      <c r="C37" s="53" t="str">
        <f>IFERROR(__xludf.DUMMYFUNCTION("""COMPUTED_VALUE"""),"GARCIA")</f>
        <v>GARCIA</v>
      </c>
      <c r="D37" s="63" t="str">
        <f>IFERROR(__xludf.DUMMYFUNCTION("""COMPUTED_VALUE"""),"ALDO KARIM")</f>
        <v>ALDO KARIM</v>
      </c>
      <c r="E37" s="155">
        <f>IFERROR(__xludf.DUMMYFUNCTION("""COMPUTED_VALUE"""),7.3)</f>
        <v>7.3</v>
      </c>
      <c r="F37" s="155">
        <f>IFERROR(__xludf.DUMMYFUNCTION("""COMPUTED_VALUE"""),0.0)</f>
        <v>0</v>
      </c>
      <c r="G37" s="155">
        <f>IFERROR(__xludf.DUMMYFUNCTION("""COMPUTED_VALUE"""),0.0)</f>
        <v>0</v>
      </c>
      <c r="H37" s="156">
        <f>IFERROR(__xludf.DUMMYFUNCTION("""COMPUTED_VALUE"""),7.3)</f>
        <v>7.3</v>
      </c>
      <c r="I37" s="157">
        <f>IFERROR(__xludf.DUMMYFUNCTION("""COMPUTED_VALUE"""),0.0)</f>
        <v>0</v>
      </c>
      <c r="J37" s="158">
        <f>IFERROR(__xludf.DUMMYFUNCTION("""COMPUTED_VALUE"""),7.0)</f>
        <v>7</v>
      </c>
      <c r="K37" s="157"/>
      <c r="L37" s="160">
        <f>IFERROR(__xludf.DUMMYFUNCTION("""COMPUTED_VALUE"""),7.0)</f>
        <v>7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"/>
    </row>
    <row r="38" ht="24.75" customHeight="1">
      <c r="A38" s="154">
        <f>IFERROR(__xludf.DUMMYFUNCTION("""COMPUTED_VALUE"""),22.0)</f>
        <v>22</v>
      </c>
      <c r="B38" s="62" t="str">
        <f>IFERROR(__xludf.DUMMYFUNCTION("""COMPUTED_VALUE"""),"MARTINEZ")</f>
        <v>MARTINEZ</v>
      </c>
      <c r="C38" s="53" t="str">
        <f>IFERROR(__xludf.DUMMYFUNCTION("""COMPUTED_VALUE"""),"PEREZ")</f>
        <v>PEREZ</v>
      </c>
      <c r="D38" s="63" t="str">
        <f>IFERROR(__xludf.DUMMYFUNCTION("""COMPUTED_VALUE"""),"SANTIAGO ALDHAIR")</f>
        <v>SANTIAGO ALDHAIR</v>
      </c>
      <c r="E38" s="155">
        <f>IFERROR(__xludf.DUMMYFUNCTION("""COMPUTED_VALUE"""),7.1)</f>
        <v>7.1</v>
      </c>
      <c r="F38" s="155">
        <f>IFERROR(__xludf.DUMMYFUNCTION("""COMPUTED_VALUE"""),2.0)</f>
        <v>2</v>
      </c>
      <c r="G38" s="155">
        <f>IFERROR(__xludf.DUMMYFUNCTION("""COMPUTED_VALUE"""),0.0)</f>
        <v>0</v>
      </c>
      <c r="H38" s="156">
        <f>IFERROR(__xludf.DUMMYFUNCTION("""COMPUTED_VALUE"""),9.1)</f>
        <v>9.1</v>
      </c>
      <c r="I38" s="157">
        <f>IFERROR(__xludf.DUMMYFUNCTION("""COMPUTED_VALUE"""),0.0)</f>
        <v>0</v>
      </c>
      <c r="J38" s="158">
        <f>IFERROR(__xludf.DUMMYFUNCTION("""COMPUTED_VALUE"""),9.0)</f>
        <v>9</v>
      </c>
      <c r="K38" s="157"/>
      <c r="L38" s="160">
        <f>IFERROR(__xludf.DUMMYFUNCTION("""COMPUTED_VALUE"""),9.0)</f>
        <v>9</v>
      </c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"/>
    </row>
    <row r="39" ht="24.75" customHeight="1">
      <c r="A39" s="154">
        <f>IFERROR(__xludf.DUMMYFUNCTION("""COMPUTED_VALUE"""),23.0)</f>
        <v>23</v>
      </c>
      <c r="B39" s="62" t="str">
        <f>IFERROR(__xludf.DUMMYFUNCTION("""COMPUTED_VALUE"""),"MARTINEZ")</f>
        <v>MARTINEZ</v>
      </c>
      <c r="C39" s="53" t="str">
        <f>IFERROR(__xludf.DUMMYFUNCTION("""COMPUTED_VALUE"""),"SALGADO")</f>
        <v>SALGADO</v>
      </c>
      <c r="D39" s="63" t="str">
        <f>IFERROR(__xludf.DUMMYFUNCTION("""COMPUTED_VALUE"""),"LUIS ALBERTO")</f>
        <v>LUIS ALBERTO</v>
      </c>
      <c r="E39" s="155">
        <f>IFERROR(__xludf.DUMMYFUNCTION("""COMPUTED_VALUE"""),7.3)</f>
        <v>7.3</v>
      </c>
      <c r="F39" s="155">
        <f>IFERROR(__xludf.DUMMYFUNCTION("""COMPUTED_VALUE"""),2.0)</f>
        <v>2</v>
      </c>
      <c r="G39" s="155">
        <f>IFERROR(__xludf.DUMMYFUNCTION("""COMPUTED_VALUE"""),0.0)</f>
        <v>0</v>
      </c>
      <c r="H39" s="156">
        <f>IFERROR(__xludf.DUMMYFUNCTION("""COMPUTED_VALUE"""),9.3)</f>
        <v>9.3</v>
      </c>
      <c r="I39" s="157">
        <f>IFERROR(__xludf.DUMMYFUNCTION("""COMPUTED_VALUE"""),0.0)</f>
        <v>0</v>
      </c>
      <c r="J39" s="158">
        <f>IFERROR(__xludf.DUMMYFUNCTION("""COMPUTED_VALUE"""),9.0)</f>
        <v>9</v>
      </c>
      <c r="K39" s="157"/>
      <c r="L39" s="160">
        <f>IFERROR(__xludf.DUMMYFUNCTION("""COMPUTED_VALUE"""),9.0)</f>
        <v>9</v>
      </c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"/>
    </row>
    <row r="40" ht="24.75" customHeight="1">
      <c r="A40" s="154">
        <f>IFERROR(__xludf.DUMMYFUNCTION("""COMPUTED_VALUE"""),24.0)</f>
        <v>24</v>
      </c>
      <c r="B40" s="62" t="str">
        <f>IFERROR(__xludf.DUMMYFUNCTION("""COMPUTED_VALUE"""),"MATA")</f>
        <v>MATA</v>
      </c>
      <c r="C40" s="53" t="str">
        <f>IFERROR(__xludf.DUMMYFUNCTION("""COMPUTED_VALUE"""),"DIAZ")</f>
        <v>DIAZ</v>
      </c>
      <c r="D40" s="63" t="str">
        <f>IFERROR(__xludf.DUMMYFUNCTION("""COMPUTED_VALUE"""),"SANTIAGO")</f>
        <v>SANTIAGO</v>
      </c>
      <c r="E40" s="155">
        <f>IFERROR(__xludf.DUMMYFUNCTION("""COMPUTED_VALUE"""),2.8)</f>
        <v>2.8</v>
      </c>
      <c r="F40" s="155">
        <f>IFERROR(__xludf.DUMMYFUNCTION("""COMPUTED_VALUE"""),0.0)</f>
        <v>0</v>
      </c>
      <c r="G40" s="155">
        <f>IFERROR(__xludf.DUMMYFUNCTION("""COMPUTED_VALUE"""),0.0)</f>
        <v>0</v>
      </c>
      <c r="H40" s="156">
        <f>IFERROR(__xludf.DUMMYFUNCTION("""COMPUTED_VALUE"""),2.8)</f>
        <v>2.8</v>
      </c>
      <c r="I40" s="157">
        <f>IFERROR(__xludf.DUMMYFUNCTION("""COMPUTED_VALUE"""),0.0)</f>
        <v>0</v>
      </c>
      <c r="J40" s="158">
        <f>IFERROR(__xludf.DUMMYFUNCTION("""COMPUTED_VALUE"""),5.0)</f>
        <v>5</v>
      </c>
      <c r="K40" s="157"/>
      <c r="L40" s="160">
        <f>IFERROR(__xludf.DUMMYFUNCTION("""COMPUTED_VALUE"""),2.0)</f>
        <v>2</v>
      </c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"/>
    </row>
    <row r="41" ht="24.75" customHeight="1">
      <c r="A41" s="154">
        <f>IFERROR(__xludf.DUMMYFUNCTION("""COMPUTED_VALUE"""),25.0)</f>
        <v>25</v>
      </c>
      <c r="B41" s="62" t="str">
        <f>IFERROR(__xludf.DUMMYFUNCTION("""COMPUTED_VALUE"""),"MONDRAGON")</f>
        <v>MONDRAGON</v>
      </c>
      <c r="C41" s="53" t="str">
        <f>IFERROR(__xludf.DUMMYFUNCTION("""COMPUTED_VALUE"""),"ALVAREZ")</f>
        <v>ALVAREZ</v>
      </c>
      <c r="D41" s="63" t="str">
        <f>IFERROR(__xludf.DUMMYFUNCTION("""COMPUTED_VALUE"""),"EDUARDO FELIPE")</f>
        <v>EDUARDO FELIPE</v>
      </c>
      <c r="E41" s="155">
        <f>IFERROR(__xludf.DUMMYFUNCTION("""COMPUTED_VALUE"""),5.1)</f>
        <v>5.1</v>
      </c>
      <c r="F41" s="155">
        <f>IFERROR(__xludf.DUMMYFUNCTION("""COMPUTED_VALUE"""),0.0)</f>
        <v>0</v>
      </c>
      <c r="G41" s="155">
        <f>IFERROR(__xludf.DUMMYFUNCTION("""COMPUTED_VALUE"""),0.0)</f>
        <v>0</v>
      </c>
      <c r="H41" s="156">
        <f>IFERROR(__xludf.DUMMYFUNCTION("""COMPUTED_VALUE"""),5.1)</f>
        <v>5.1</v>
      </c>
      <c r="I41" s="157">
        <f>IFERROR(__xludf.DUMMYFUNCTION("""COMPUTED_VALUE"""),0.0)</f>
        <v>0</v>
      </c>
      <c r="J41" s="158">
        <f>IFERROR(__xludf.DUMMYFUNCTION("""COMPUTED_VALUE"""),5.0)</f>
        <v>5</v>
      </c>
      <c r="K41" s="157"/>
      <c r="L41" s="160">
        <f>IFERROR(__xludf.DUMMYFUNCTION("""COMPUTED_VALUE"""),5.0)</f>
        <v>5</v>
      </c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"/>
    </row>
    <row r="42" ht="24.75" customHeight="1">
      <c r="A42" s="154">
        <f>IFERROR(__xludf.DUMMYFUNCTION("""COMPUTED_VALUE"""),26.0)</f>
        <v>26</v>
      </c>
      <c r="B42" s="62" t="str">
        <f>IFERROR(__xludf.DUMMYFUNCTION("""COMPUTED_VALUE"""),"MORALES")</f>
        <v>MORALES</v>
      </c>
      <c r="C42" s="53" t="str">
        <f>IFERROR(__xludf.DUMMYFUNCTION("""COMPUTED_VALUE"""),"BARRAGAN")</f>
        <v>BARRAGAN</v>
      </c>
      <c r="D42" s="63" t="str">
        <f>IFERROR(__xludf.DUMMYFUNCTION("""COMPUTED_VALUE"""),"MAURICIO")</f>
        <v>MAURICIO</v>
      </c>
      <c r="E42" s="155">
        <f>IFERROR(__xludf.DUMMYFUNCTION("""COMPUTED_VALUE"""),7.8)</f>
        <v>7.8</v>
      </c>
      <c r="F42" s="155">
        <f>IFERROR(__xludf.DUMMYFUNCTION("""COMPUTED_VALUE"""),2.0)</f>
        <v>2</v>
      </c>
      <c r="G42" s="155">
        <f>IFERROR(__xludf.DUMMYFUNCTION("""COMPUTED_VALUE"""),0.0)</f>
        <v>0</v>
      </c>
      <c r="H42" s="156">
        <f>IFERROR(__xludf.DUMMYFUNCTION("""COMPUTED_VALUE"""),9.8)</f>
        <v>9.8</v>
      </c>
      <c r="I42" s="157">
        <f>IFERROR(__xludf.DUMMYFUNCTION("""COMPUTED_VALUE"""),0.0)</f>
        <v>0</v>
      </c>
      <c r="J42" s="158">
        <f>IFERROR(__xludf.DUMMYFUNCTION("""COMPUTED_VALUE"""),10.0)</f>
        <v>10</v>
      </c>
      <c r="K42" s="157"/>
      <c r="L42" s="160">
        <f>IFERROR(__xludf.DUMMYFUNCTION("""COMPUTED_VALUE"""),10.0)</f>
        <v>10</v>
      </c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"/>
    </row>
    <row r="43" ht="24.75" customHeight="1">
      <c r="A43" s="154">
        <f>IFERROR(__xludf.DUMMYFUNCTION("""COMPUTED_VALUE"""),27.0)</f>
        <v>27</v>
      </c>
      <c r="B43" s="62" t="str">
        <f>IFERROR(__xludf.DUMMYFUNCTION("""COMPUTED_VALUE"""),"MORALES")</f>
        <v>MORALES</v>
      </c>
      <c r="C43" s="53" t="str">
        <f>IFERROR(__xludf.DUMMYFUNCTION("""COMPUTED_VALUE"""),"REYES")</f>
        <v>REYES</v>
      </c>
      <c r="D43" s="63" t="str">
        <f>IFERROR(__xludf.DUMMYFUNCTION("""COMPUTED_VALUE"""),"FRIDA NAOMY")</f>
        <v>FRIDA NAOMY</v>
      </c>
      <c r="E43" s="155">
        <f>IFERROR(__xludf.DUMMYFUNCTION("""COMPUTED_VALUE"""),7.3)</f>
        <v>7.3</v>
      </c>
      <c r="F43" s="155">
        <f>IFERROR(__xludf.DUMMYFUNCTION("""COMPUTED_VALUE"""),2.0)</f>
        <v>2</v>
      </c>
      <c r="G43" s="155">
        <f>IFERROR(__xludf.DUMMYFUNCTION("""COMPUTED_VALUE"""),0.0)</f>
        <v>0</v>
      </c>
      <c r="H43" s="156">
        <f>IFERROR(__xludf.DUMMYFUNCTION("""COMPUTED_VALUE"""),9.3)</f>
        <v>9.3</v>
      </c>
      <c r="I43" s="157">
        <f>IFERROR(__xludf.DUMMYFUNCTION("""COMPUTED_VALUE"""),0.0)</f>
        <v>0</v>
      </c>
      <c r="J43" s="158">
        <f>IFERROR(__xludf.DUMMYFUNCTION("""COMPUTED_VALUE"""),9.0)</f>
        <v>9</v>
      </c>
      <c r="K43" s="157"/>
      <c r="L43" s="160">
        <f>IFERROR(__xludf.DUMMYFUNCTION("""COMPUTED_VALUE"""),9.0)</f>
        <v>9</v>
      </c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"/>
    </row>
    <row r="44" ht="24.75" customHeight="1">
      <c r="A44" s="154">
        <f>IFERROR(__xludf.DUMMYFUNCTION("""COMPUTED_VALUE"""),28.0)</f>
        <v>28</v>
      </c>
      <c r="B44" s="62" t="str">
        <f>IFERROR(__xludf.DUMMYFUNCTION("""COMPUTED_VALUE"""),"MORENO")</f>
        <v>MORENO</v>
      </c>
      <c r="C44" s="53" t="str">
        <f>IFERROR(__xludf.DUMMYFUNCTION("""COMPUTED_VALUE"""),"GARCIA")</f>
        <v>GARCIA</v>
      </c>
      <c r="D44" s="63" t="str">
        <f>IFERROR(__xludf.DUMMYFUNCTION("""COMPUTED_VALUE"""),"DIEGO SANTIAGO")</f>
        <v>DIEGO SANTIAGO</v>
      </c>
      <c r="E44" s="155">
        <f>IFERROR(__xludf.DUMMYFUNCTION("""COMPUTED_VALUE"""),0.0)</f>
        <v>0</v>
      </c>
      <c r="F44" s="155">
        <f>IFERROR(__xludf.DUMMYFUNCTION("""COMPUTED_VALUE"""),0.0)</f>
        <v>0</v>
      </c>
      <c r="G44" s="155">
        <f>IFERROR(__xludf.DUMMYFUNCTION("""COMPUTED_VALUE"""),0.0)</f>
        <v>0</v>
      </c>
      <c r="H44" s="156">
        <f>IFERROR(__xludf.DUMMYFUNCTION("""COMPUTED_VALUE"""),0.0)</f>
        <v>0</v>
      </c>
      <c r="I44" s="157">
        <f>IFERROR(__xludf.DUMMYFUNCTION("""COMPUTED_VALUE"""),0.0)</f>
        <v>0</v>
      </c>
      <c r="J44" s="158">
        <f>IFERROR(__xludf.DUMMYFUNCTION("""COMPUTED_VALUE"""),5.0)</f>
        <v>5</v>
      </c>
      <c r="K44" s="157"/>
      <c r="L44" s="160">
        <f>IFERROR(__xludf.DUMMYFUNCTION("""COMPUTED_VALUE"""),0.0)</f>
        <v>0</v>
      </c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"/>
    </row>
    <row r="45" ht="24.75" customHeight="1">
      <c r="A45" s="154">
        <f>IFERROR(__xludf.DUMMYFUNCTION("""COMPUTED_VALUE"""),29.0)</f>
        <v>29</v>
      </c>
      <c r="B45" s="62" t="str">
        <f>IFERROR(__xludf.DUMMYFUNCTION("""COMPUTED_VALUE"""),"MUÑOZ")</f>
        <v>MUÑOZ</v>
      </c>
      <c r="C45" s="53" t="str">
        <f>IFERROR(__xludf.DUMMYFUNCTION("""COMPUTED_VALUE"""),"GARCIA")</f>
        <v>GARCIA</v>
      </c>
      <c r="D45" s="63" t="str">
        <f>IFERROR(__xludf.DUMMYFUNCTION("""COMPUTED_VALUE"""),"HERIBERTO")</f>
        <v>HERIBERTO</v>
      </c>
      <c r="E45" s="155">
        <f>IFERROR(__xludf.DUMMYFUNCTION("""COMPUTED_VALUE"""),7.1)</f>
        <v>7.1</v>
      </c>
      <c r="F45" s="155">
        <f>IFERROR(__xludf.DUMMYFUNCTION("""COMPUTED_VALUE"""),2.0)</f>
        <v>2</v>
      </c>
      <c r="G45" s="155">
        <f>IFERROR(__xludf.DUMMYFUNCTION("""COMPUTED_VALUE"""),0.0)</f>
        <v>0</v>
      </c>
      <c r="H45" s="156">
        <f>IFERROR(__xludf.DUMMYFUNCTION("""COMPUTED_VALUE"""),9.1)</f>
        <v>9.1</v>
      </c>
      <c r="I45" s="157">
        <f>IFERROR(__xludf.DUMMYFUNCTION("""COMPUTED_VALUE"""),0.0)</f>
        <v>0</v>
      </c>
      <c r="J45" s="158">
        <f>IFERROR(__xludf.DUMMYFUNCTION("""COMPUTED_VALUE"""),9.0)</f>
        <v>9</v>
      </c>
      <c r="K45" s="157"/>
      <c r="L45" s="160">
        <f>IFERROR(__xludf.DUMMYFUNCTION("""COMPUTED_VALUE"""),9.0)</f>
        <v>9</v>
      </c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"/>
    </row>
    <row r="46" ht="24.75" customHeight="1">
      <c r="A46" s="154">
        <f>IFERROR(__xludf.DUMMYFUNCTION("""COMPUTED_VALUE"""),30.0)</f>
        <v>30</v>
      </c>
      <c r="B46" s="62" t="str">
        <f>IFERROR(__xludf.DUMMYFUNCTION("""COMPUTED_VALUE"""),"PLATA")</f>
        <v>PLATA</v>
      </c>
      <c r="C46" s="53" t="str">
        <f>IFERROR(__xludf.DUMMYFUNCTION("""COMPUTED_VALUE"""),"CLAUDIO")</f>
        <v>CLAUDIO</v>
      </c>
      <c r="D46" s="63" t="str">
        <f>IFERROR(__xludf.DUMMYFUNCTION("""COMPUTED_VALUE"""),"EMILIANO")</f>
        <v>EMILIANO</v>
      </c>
      <c r="E46" s="155">
        <f>IFERROR(__xludf.DUMMYFUNCTION("""COMPUTED_VALUE"""),4.8)</f>
        <v>4.8</v>
      </c>
      <c r="F46" s="155">
        <f>IFERROR(__xludf.DUMMYFUNCTION("""COMPUTED_VALUE"""),2.0)</f>
        <v>2</v>
      </c>
      <c r="G46" s="155">
        <f>IFERROR(__xludf.DUMMYFUNCTION("""COMPUTED_VALUE"""),0.0)</f>
        <v>0</v>
      </c>
      <c r="H46" s="156">
        <f>IFERROR(__xludf.DUMMYFUNCTION("""COMPUTED_VALUE"""),6.8)</f>
        <v>6.8</v>
      </c>
      <c r="I46" s="157">
        <f>IFERROR(__xludf.DUMMYFUNCTION("""COMPUTED_VALUE"""),0.0)</f>
        <v>0</v>
      </c>
      <c r="J46" s="158">
        <f>IFERROR(__xludf.DUMMYFUNCTION("""COMPUTED_VALUE"""),7.0)</f>
        <v>7</v>
      </c>
      <c r="K46" s="157"/>
      <c r="L46" s="160">
        <f>IFERROR(__xludf.DUMMYFUNCTION("""COMPUTED_VALUE"""),7.0)</f>
        <v>7</v>
      </c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"/>
    </row>
    <row r="47" ht="24.75" customHeight="1">
      <c r="A47" s="154">
        <f>IFERROR(__xludf.DUMMYFUNCTION("""COMPUTED_VALUE"""),31.0)</f>
        <v>31</v>
      </c>
      <c r="B47" s="62" t="str">
        <f>IFERROR(__xludf.DUMMYFUNCTION("""COMPUTED_VALUE"""),"RAMOS")</f>
        <v>RAMOS</v>
      </c>
      <c r="C47" s="53" t="str">
        <f>IFERROR(__xludf.DUMMYFUNCTION("""COMPUTED_VALUE"""),"REYES")</f>
        <v>REYES</v>
      </c>
      <c r="D47" s="63" t="str">
        <f>IFERROR(__xludf.DUMMYFUNCTION("""COMPUTED_VALUE"""),"ALEXA SOFIA")</f>
        <v>ALEXA SOFIA</v>
      </c>
      <c r="E47" s="155">
        <f>IFERROR(__xludf.DUMMYFUNCTION("""COMPUTED_VALUE"""),2.8)</f>
        <v>2.8</v>
      </c>
      <c r="F47" s="155">
        <f>IFERROR(__xludf.DUMMYFUNCTION("""COMPUTED_VALUE"""),0.0)</f>
        <v>0</v>
      </c>
      <c r="G47" s="155">
        <f>IFERROR(__xludf.DUMMYFUNCTION("""COMPUTED_VALUE"""),0.0)</f>
        <v>0</v>
      </c>
      <c r="H47" s="156">
        <f>IFERROR(__xludf.DUMMYFUNCTION("""COMPUTED_VALUE"""),2.8)</f>
        <v>2.8</v>
      </c>
      <c r="I47" s="157">
        <f>IFERROR(__xludf.DUMMYFUNCTION("""COMPUTED_VALUE"""),0.0)</f>
        <v>0</v>
      </c>
      <c r="J47" s="158">
        <f>IFERROR(__xludf.DUMMYFUNCTION("""COMPUTED_VALUE"""),5.0)</f>
        <v>5</v>
      </c>
      <c r="K47" s="157"/>
      <c r="L47" s="160">
        <f>IFERROR(__xludf.DUMMYFUNCTION("""COMPUTED_VALUE"""),2.0)</f>
        <v>2</v>
      </c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"/>
    </row>
    <row r="48" ht="24.75" customHeight="1">
      <c r="A48" s="154">
        <f>IFERROR(__xludf.DUMMYFUNCTION("""COMPUTED_VALUE"""),32.0)</f>
        <v>32</v>
      </c>
      <c r="B48" s="65" t="str">
        <f>IFERROR(__xludf.DUMMYFUNCTION("""COMPUTED_VALUE"""),"REYES")</f>
        <v>REYES</v>
      </c>
      <c r="C48" s="66" t="str">
        <f>IFERROR(__xludf.DUMMYFUNCTION("""COMPUTED_VALUE"""),"ALLENDE")</f>
        <v>ALLENDE</v>
      </c>
      <c r="D48" s="67" t="str">
        <f>IFERROR(__xludf.DUMMYFUNCTION("""COMPUTED_VALUE"""),"ELIZABETH")</f>
        <v>ELIZABETH</v>
      </c>
      <c r="E48" s="155">
        <f>IFERROR(__xludf.DUMMYFUNCTION("""COMPUTED_VALUE"""),7.3)</f>
        <v>7.3</v>
      </c>
      <c r="F48" s="155">
        <f>IFERROR(__xludf.DUMMYFUNCTION("""COMPUTED_VALUE"""),2.0)</f>
        <v>2</v>
      </c>
      <c r="G48" s="155">
        <f>IFERROR(__xludf.DUMMYFUNCTION("""COMPUTED_VALUE"""),0.0)</f>
        <v>0</v>
      </c>
      <c r="H48" s="156">
        <f>IFERROR(__xludf.DUMMYFUNCTION("""COMPUTED_VALUE"""),9.3)</f>
        <v>9.3</v>
      </c>
      <c r="I48" s="157">
        <f>IFERROR(__xludf.DUMMYFUNCTION("""COMPUTED_VALUE"""),0.0)</f>
        <v>0</v>
      </c>
      <c r="J48" s="158">
        <f>IFERROR(__xludf.DUMMYFUNCTION("""COMPUTED_VALUE"""),9.0)</f>
        <v>9</v>
      </c>
      <c r="K48" s="157"/>
      <c r="L48" s="160">
        <f>IFERROR(__xludf.DUMMYFUNCTION("""COMPUTED_VALUE"""),9.0)</f>
        <v>9</v>
      </c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"/>
    </row>
    <row r="49" ht="24.75" customHeight="1">
      <c r="A49" s="154">
        <f>IFERROR(__xludf.DUMMYFUNCTION("""COMPUTED_VALUE"""),33.0)</f>
        <v>33</v>
      </c>
      <c r="B49" s="65" t="str">
        <f>IFERROR(__xludf.DUMMYFUNCTION("""COMPUTED_VALUE"""),"RODRIGUEZ")</f>
        <v>RODRIGUEZ</v>
      </c>
      <c r="C49" s="66" t="str">
        <f>IFERROR(__xludf.DUMMYFUNCTION("""COMPUTED_VALUE"""),"CAMARENA")</f>
        <v>CAMARENA</v>
      </c>
      <c r="D49" s="67" t="str">
        <f>IFERROR(__xludf.DUMMYFUNCTION("""COMPUTED_VALUE"""),"ALONDRA KARIME")</f>
        <v>ALONDRA KARIME</v>
      </c>
      <c r="E49" s="155">
        <f>IFERROR(__xludf.DUMMYFUNCTION("""COMPUTED_VALUE"""),7.1)</f>
        <v>7.1</v>
      </c>
      <c r="F49" s="155">
        <f>IFERROR(__xludf.DUMMYFUNCTION("""COMPUTED_VALUE"""),2.0)</f>
        <v>2</v>
      </c>
      <c r="G49" s="155">
        <f>IFERROR(__xludf.DUMMYFUNCTION("""COMPUTED_VALUE"""),0.0)</f>
        <v>0</v>
      </c>
      <c r="H49" s="156">
        <f>IFERROR(__xludf.DUMMYFUNCTION("""COMPUTED_VALUE"""),9.1)</f>
        <v>9.1</v>
      </c>
      <c r="I49" s="157">
        <f>IFERROR(__xludf.DUMMYFUNCTION("""COMPUTED_VALUE"""),0.0)</f>
        <v>0</v>
      </c>
      <c r="J49" s="158">
        <f>IFERROR(__xludf.DUMMYFUNCTION("""COMPUTED_VALUE"""),9.0)</f>
        <v>9</v>
      </c>
      <c r="K49" s="157"/>
      <c r="L49" s="160">
        <f>IFERROR(__xludf.DUMMYFUNCTION("""COMPUTED_VALUE"""),9.0)</f>
        <v>9</v>
      </c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"/>
    </row>
    <row r="50" ht="24.75" customHeight="1">
      <c r="A50" s="154">
        <f>IFERROR(__xludf.DUMMYFUNCTION("""COMPUTED_VALUE"""),34.0)</f>
        <v>34</v>
      </c>
      <c r="B50" s="65" t="str">
        <f>IFERROR(__xludf.DUMMYFUNCTION("""COMPUTED_VALUE"""),"RODRIGUEZ")</f>
        <v>RODRIGUEZ</v>
      </c>
      <c r="C50" s="66" t="str">
        <f>IFERROR(__xludf.DUMMYFUNCTION("""COMPUTED_VALUE"""),"ORTIZ")</f>
        <v>ORTIZ</v>
      </c>
      <c r="D50" s="67" t="str">
        <f>IFERROR(__xludf.DUMMYFUNCTION("""COMPUTED_VALUE"""),"AITANA YATZIRI")</f>
        <v>AITANA YATZIRI</v>
      </c>
      <c r="E50" s="155">
        <f>IFERROR(__xludf.DUMMYFUNCTION("""COMPUTED_VALUE"""),0.5)</f>
        <v>0.5</v>
      </c>
      <c r="F50" s="155">
        <f>IFERROR(__xludf.DUMMYFUNCTION("""COMPUTED_VALUE"""),2.0)</f>
        <v>2</v>
      </c>
      <c r="G50" s="155">
        <f>IFERROR(__xludf.DUMMYFUNCTION("""COMPUTED_VALUE"""),0.0)</f>
        <v>0</v>
      </c>
      <c r="H50" s="156">
        <f>IFERROR(__xludf.DUMMYFUNCTION("""COMPUTED_VALUE"""),2.5)</f>
        <v>2.5</v>
      </c>
      <c r="I50" s="157">
        <f>IFERROR(__xludf.DUMMYFUNCTION("""COMPUTED_VALUE"""),0.0)</f>
        <v>0</v>
      </c>
      <c r="J50" s="158">
        <f>IFERROR(__xludf.DUMMYFUNCTION("""COMPUTED_VALUE"""),5.0)</f>
        <v>5</v>
      </c>
      <c r="K50" s="157"/>
      <c r="L50" s="160">
        <f>IFERROR(__xludf.DUMMYFUNCTION("""COMPUTED_VALUE"""),2.0)</f>
        <v>2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"/>
    </row>
    <row r="51" ht="24.75" customHeight="1">
      <c r="A51" s="154">
        <f>IFERROR(__xludf.DUMMYFUNCTION("""COMPUTED_VALUE"""),35.0)</f>
        <v>35</v>
      </c>
      <c r="B51" s="65" t="str">
        <f>IFERROR(__xludf.DUMMYFUNCTION("""COMPUTED_VALUE"""),"RODRIGUEZ")</f>
        <v>RODRIGUEZ</v>
      </c>
      <c r="C51" s="66" t="str">
        <f>IFERROR(__xludf.DUMMYFUNCTION("""COMPUTED_VALUE"""),"TIRADO")</f>
        <v>TIRADO</v>
      </c>
      <c r="D51" s="67" t="str">
        <f>IFERROR(__xludf.DUMMYFUNCTION("""COMPUTED_VALUE"""),"ELIZABETH")</f>
        <v>ELIZABETH</v>
      </c>
      <c r="E51" s="155">
        <f>IFERROR(__xludf.DUMMYFUNCTION("""COMPUTED_VALUE"""),7.3)</f>
        <v>7.3</v>
      </c>
      <c r="F51" s="155">
        <f>IFERROR(__xludf.DUMMYFUNCTION("""COMPUTED_VALUE"""),2.0)</f>
        <v>2</v>
      </c>
      <c r="G51" s="155">
        <f>IFERROR(__xludf.DUMMYFUNCTION("""COMPUTED_VALUE"""),0.0)</f>
        <v>0</v>
      </c>
      <c r="H51" s="156">
        <f>IFERROR(__xludf.DUMMYFUNCTION("""COMPUTED_VALUE"""),9.3)</f>
        <v>9.3</v>
      </c>
      <c r="I51" s="157">
        <f>IFERROR(__xludf.DUMMYFUNCTION("""COMPUTED_VALUE"""),0.0)</f>
        <v>0</v>
      </c>
      <c r="J51" s="158">
        <f>IFERROR(__xludf.DUMMYFUNCTION("""COMPUTED_VALUE"""),9.0)</f>
        <v>9</v>
      </c>
      <c r="K51" s="157"/>
      <c r="L51" s="161">
        <f>IFERROR(__xludf.DUMMYFUNCTION("""COMPUTED_VALUE"""),9.0)</f>
        <v>9</v>
      </c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"/>
    </row>
    <row r="52" ht="24.75" customHeight="1">
      <c r="A52" s="154">
        <f>IFERROR(__xludf.DUMMYFUNCTION("""COMPUTED_VALUE"""),36.0)</f>
        <v>36</v>
      </c>
      <c r="B52" s="65" t="str">
        <f>IFERROR(__xludf.DUMMYFUNCTION("""COMPUTED_VALUE"""),"ROMERO")</f>
        <v>ROMERO</v>
      </c>
      <c r="C52" s="66" t="str">
        <f>IFERROR(__xludf.DUMMYFUNCTION("""COMPUTED_VALUE"""),"CAMACHO")</f>
        <v>CAMACHO</v>
      </c>
      <c r="D52" s="67" t="str">
        <f>IFERROR(__xludf.DUMMYFUNCTION("""COMPUTED_VALUE"""),"DIANA LAURA")</f>
        <v>DIANA LAURA</v>
      </c>
      <c r="E52" s="155">
        <f>IFERROR(__xludf.DUMMYFUNCTION("""COMPUTED_VALUE"""),7.3)</f>
        <v>7.3</v>
      </c>
      <c r="F52" s="155">
        <f>IFERROR(__xludf.DUMMYFUNCTION("""COMPUTED_VALUE"""),2.0)</f>
        <v>2</v>
      </c>
      <c r="G52" s="155">
        <f>IFERROR(__xludf.DUMMYFUNCTION("""COMPUTED_VALUE"""),0.0)</f>
        <v>0</v>
      </c>
      <c r="H52" s="156">
        <f>IFERROR(__xludf.DUMMYFUNCTION("""COMPUTED_VALUE"""),9.3)</f>
        <v>9.3</v>
      </c>
      <c r="I52" s="157">
        <f>IFERROR(__xludf.DUMMYFUNCTION("""COMPUTED_VALUE"""),0.0)</f>
        <v>0</v>
      </c>
      <c r="J52" s="158">
        <f>IFERROR(__xludf.DUMMYFUNCTION("""COMPUTED_VALUE"""),9.0)</f>
        <v>9</v>
      </c>
      <c r="K52" s="157"/>
      <c r="L52" s="161">
        <f>IFERROR(__xludf.DUMMYFUNCTION("""COMPUTED_VALUE"""),9.0)</f>
        <v>9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"/>
    </row>
    <row r="53" ht="24.75" customHeight="1">
      <c r="A53" s="154">
        <f>IFERROR(__xludf.DUMMYFUNCTION("""COMPUTED_VALUE"""),37.0)</f>
        <v>37</v>
      </c>
      <c r="B53" s="65" t="str">
        <f>IFERROR(__xludf.DUMMYFUNCTION("""COMPUTED_VALUE"""),"RUIZ")</f>
        <v>RUIZ</v>
      </c>
      <c r="C53" s="66" t="str">
        <f>IFERROR(__xludf.DUMMYFUNCTION("""COMPUTED_VALUE"""),"JIMENEZ")</f>
        <v>JIMENEZ</v>
      </c>
      <c r="D53" s="67" t="str">
        <f>IFERROR(__xludf.DUMMYFUNCTION("""COMPUTED_VALUE"""),"ANA KAREN")</f>
        <v>ANA KAREN</v>
      </c>
      <c r="E53" s="155">
        <f>IFERROR(__xludf.DUMMYFUNCTION("""COMPUTED_VALUE"""),7.3)</f>
        <v>7.3</v>
      </c>
      <c r="F53" s="155">
        <f>IFERROR(__xludf.DUMMYFUNCTION("""COMPUTED_VALUE"""),2.0)</f>
        <v>2</v>
      </c>
      <c r="G53" s="155">
        <f>IFERROR(__xludf.DUMMYFUNCTION("""COMPUTED_VALUE"""),0.0)</f>
        <v>0</v>
      </c>
      <c r="H53" s="156">
        <f>IFERROR(__xludf.DUMMYFUNCTION("""COMPUTED_VALUE"""),9.3)</f>
        <v>9.3</v>
      </c>
      <c r="I53" s="157">
        <f>IFERROR(__xludf.DUMMYFUNCTION("""COMPUTED_VALUE"""),0.0)</f>
        <v>0</v>
      </c>
      <c r="J53" s="158">
        <f>IFERROR(__xludf.DUMMYFUNCTION("""COMPUTED_VALUE"""),9.0)</f>
        <v>9</v>
      </c>
      <c r="K53" s="157"/>
      <c r="L53" s="161">
        <f>IFERROR(__xludf.DUMMYFUNCTION("""COMPUTED_VALUE"""),9.0)</f>
        <v>9</v>
      </c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"/>
    </row>
    <row r="54" ht="24.75" customHeight="1">
      <c r="A54" s="154">
        <f>IFERROR(__xludf.DUMMYFUNCTION("""COMPUTED_VALUE"""),38.0)</f>
        <v>38</v>
      </c>
      <c r="B54" s="65" t="str">
        <f>IFERROR(__xludf.DUMMYFUNCTION("""COMPUTED_VALUE"""),"SALAS")</f>
        <v>SALAS</v>
      </c>
      <c r="C54" s="66" t="str">
        <f>IFERROR(__xludf.DUMMYFUNCTION("""COMPUTED_VALUE"""),"CAMARENA")</f>
        <v>CAMARENA</v>
      </c>
      <c r="D54" s="67" t="str">
        <f>IFERROR(__xludf.DUMMYFUNCTION("""COMPUTED_VALUE"""),"ESTEFANIA")</f>
        <v>ESTEFANIA</v>
      </c>
      <c r="E54" s="155">
        <f>IFERROR(__xludf.DUMMYFUNCTION("""COMPUTED_VALUE"""),2.8)</f>
        <v>2.8</v>
      </c>
      <c r="F54" s="155">
        <f>IFERROR(__xludf.DUMMYFUNCTION("""COMPUTED_VALUE"""),2.0)</f>
        <v>2</v>
      </c>
      <c r="G54" s="155">
        <f>IFERROR(__xludf.DUMMYFUNCTION("""COMPUTED_VALUE"""),0.0)</f>
        <v>0</v>
      </c>
      <c r="H54" s="156">
        <f>IFERROR(__xludf.DUMMYFUNCTION("""COMPUTED_VALUE"""),4.8)</f>
        <v>4.8</v>
      </c>
      <c r="I54" s="162">
        <f>IFERROR(__xludf.DUMMYFUNCTION("""COMPUTED_VALUE"""),0.0)</f>
        <v>0</v>
      </c>
      <c r="J54" s="158">
        <f>IFERROR(__xludf.DUMMYFUNCTION("""COMPUTED_VALUE"""),5.0)</f>
        <v>5</v>
      </c>
      <c r="K54" s="157"/>
      <c r="L54" s="161">
        <f>IFERROR(__xludf.DUMMYFUNCTION("""COMPUTED_VALUE"""),4.0)</f>
        <v>4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"/>
    </row>
    <row r="55" ht="24.75" customHeight="1">
      <c r="A55" s="154">
        <f>IFERROR(__xludf.DUMMYFUNCTION("""COMPUTED_VALUE"""),39.0)</f>
        <v>39</v>
      </c>
      <c r="B55" s="65" t="str">
        <f>IFERROR(__xludf.DUMMYFUNCTION("""COMPUTED_VALUE"""),"SALAS")</f>
        <v>SALAS</v>
      </c>
      <c r="C55" s="66" t="str">
        <f>IFERROR(__xludf.DUMMYFUNCTION("""COMPUTED_VALUE"""),"GARCIA")</f>
        <v>GARCIA</v>
      </c>
      <c r="D55" s="67" t="str">
        <f>IFERROR(__xludf.DUMMYFUNCTION("""COMPUTED_VALUE"""),"ASHLEY GUADALUPE")</f>
        <v>ASHLEY GUADALUPE</v>
      </c>
      <c r="E55" s="155">
        <f>IFERROR(__xludf.DUMMYFUNCTION("""COMPUTED_VALUE"""),7.1)</f>
        <v>7.1</v>
      </c>
      <c r="F55" s="155">
        <f>IFERROR(__xludf.DUMMYFUNCTION("""COMPUTED_VALUE"""),2.0)</f>
        <v>2</v>
      </c>
      <c r="G55" s="155">
        <f>IFERROR(__xludf.DUMMYFUNCTION("""COMPUTED_VALUE"""),0.0)</f>
        <v>0</v>
      </c>
      <c r="H55" s="156">
        <f>IFERROR(__xludf.DUMMYFUNCTION("""COMPUTED_VALUE"""),9.1)</f>
        <v>9.1</v>
      </c>
      <c r="I55" s="162">
        <f>IFERROR(__xludf.DUMMYFUNCTION("""COMPUTED_VALUE"""),0.0)</f>
        <v>0</v>
      </c>
      <c r="J55" s="158">
        <f>IFERROR(__xludf.DUMMYFUNCTION("""COMPUTED_VALUE"""),9.0)</f>
        <v>9</v>
      </c>
      <c r="K55" s="157"/>
      <c r="L55" s="161">
        <f>IFERROR(__xludf.DUMMYFUNCTION("""COMPUTED_VALUE"""),9.0)</f>
        <v>9</v>
      </c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"/>
    </row>
    <row r="56" ht="24.75" customHeight="1">
      <c r="A56" s="154">
        <f>IFERROR(__xludf.DUMMYFUNCTION("""COMPUTED_VALUE"""),40.0)</f>
        <v>40</v>
      </c>
      <c r="B56" s="65" t="str">
        <f>IFERROR(__xludf.DUMMYFUNCTION("""COMPUTED_VALUE"""),"SALAS")</f>
        <v>SALAS</v>
      </c>
      <c r="C56" s="66" t="str">
        <f>IFERROR(__xludf.DUMMYFUNCTION("""COMPUTED_VALUE"""),"RESENDIZ")</f>
        <v>RESENDIZ</v>
      </c>
      <c r="D56" s="67" t="str">
        <f>IFERROR(__xludf.DUMMYFUNCTION("""COMPUTED_VALUE"""),"AISLINN REBECA")</f>
        <v>AISLINN REBECA</v>
      </c>
      <c r="E56" s="155">
        <f>IFERROR(__xludf.DUMMYFUNCTION("""COMPUTED_VALUE"""),7.3)</f>
        <v>7.3</v>
      </c>
      <c r="F56" s="155">
        <f>IFERROR(__xludf.DUMMYFUNCTION("""COMPUTED_VALUE"""),2.0)</f>
        <v>2</v>
      </c>
      <c r="G56" s="155">
        <f>IFERROR(__xludf.DUMMYFUNCTION("""COMPUTED_VALUE"""),0.0)</f>
        <v>0</v>
      </c>
      <c r="H56" s="156">
        <f>IFERROR(__xludf.DUMMYFUNCTION("""COMPUTED_VALUE"""),9.3)</f>
        <v>9.3</v>
      </c>
      <c r="I56" s="162">
        <f>IFERROR(__xludf.DUMMYFUNCTION("""COMPUTED_VALUE"""),0.0)</f>
        <v>0</v>
      </c>
      <c r="J56" s="158">
        <f>IFERROR(__xludf.DUMMYFUNCTION("""COMPUTED_VALUE"""),9.0)</f>
        <v>9</v>
      </c>
      <c r="K56" s="157"/>
      <c r="L56" s="161">
        <f>IFERROR(__xludf.DUMMYFUNCTION("""COMPUTED_VALUE"""),9.0)</f>
        <v>9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"/>
    </row>
    <row r="57" ht="24.75" customHeight="1">
      <c r="A57" s="154">
        <f>IFERROR(__xludf.DUMMYFUNCTION("""COMPUTED_VALUE"""),41.0)</f>
        <v>41</v>
      </c>
      <c r="B57" s="65" t="str">
        <f>IFERROR(__xludf.DUMMYFUNCTION("""COMPUTED_VALUE"""),"SANCHEZ")</f>
        <v>SANCHEZ</v>
      </c>
      <c r="C57" s="66" t="str">
        <f>IFERROR(__xludf.DUMMYFUNCTION("""COMPUTED_VALUE"""),"PEREZ")</f>
        <v>PEREZ</v>
      </c>
      <c r="D57" s="67" t="str">
        <f>IFERROR(__xludf.DUMMYFUNCTION("""COMPUTED_VALUE"""),"ANGEL EMMANUEL")</f>
        <v>ANGEL EMMANUEL</v>
      </c>
      <c r="E57" s="155">
        <f>IFERROR(__xludf.DUMMYFUNCTION("""COMPUTED_VALUE"""),7.3)</f>
        <v>7.3</v>
      </c>
      <c r="F57" s="155">
        <f>IFERROR(__xludf.DUMMYFUNCTION("""COMPUTED_VALUE"""),2.0)</f>
        <v>2</v>
      </c>
      <c r="G57" s="155">
        <f>IFERROR(__xludf.DUMMYFUNCTION("""COMPUTED_VALUE"""),0.0)</f>
        <v>0</v>
      </c>
      <c r="H57" s="156">
        <f>IFERROR(__xludf.DUMMYFUNCTION("""COMPUTED_VALUE"""),9.3)</f>
        <v>9.3</v>
      </c>
      <c r="I57" s="162">
        <f>IFERROR(__xludf.DUMMYFUNCTION("""COMPUTED_VALUE"""),0.0)</f>
        <v>0</v>
      </c>
      <c r="J57" s="158">
        <f>IFERROR(__xludf.DUMMYFUNCTION("""COMPUTED_VALUE"""),9.0)</f>
        <v>9</v>
      </c>
      <c r="K57" s="157"/>
      <c r="L57" s="161">
        <f>IFERROR(__xludf.DUMMYFUNCTION("""COMPUTED_VALUE"""),9.0)</f>
        <v>9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"/>
    </row>
    <row r="58" ht="24.75" customHeight="1">
      <c r="A58" s="154">
        <f>IFERROR(__xludf.DUMMYFUNCTION("""COMPUTED_VALUE"""),42.0)</f>
        <v>42</v>
      </c>
      <c r="B58" s="65" t="str">
        <f>IFERROR(__xludf.DUMMYFUNCTION("""COMPUTED_VALUE"""),"SANTAMARIA")</f>
        <v>SANTAMARIA</v>
      </c>
      <c r="C58" s="66" t="str">
        <f>IFERROR(__xludf.DUMMYFUNCTION("""COMPUTED_VALUE"""),"OSORIO")</f>
        <v>OSORIO</v>
      </c>
      <c r="D58" s="67" t="str">
        <f>IFERROR(__xludf.DUMMYFUNCTION("""COMPUTED_VALUE"""),"VALERIA")</f>
        <v>VALERIA</v>
      </c>
      <c r="E58" s="155">
        <f>IFERROR(__xludf.DUMMYFUNCTION("""COMPUTED_VALUE"""),7.3)</f>
        <v>7.3</v>
      </c>
      <c r="F58" s="155">
        <f>IFERROR(__xludf.DUMMYFUNCTION("""COMPUTED_VALUE"""),2.0)</f>
        <v>2</v>
      </c>
      <c r="G58" s="155">
        <f>IFERROR(__xludf.DUMMYFUNCTION("""COMPUTED_VALUE"""),0.0)</f>
        <v>0</v>
      </c>
      <c r="H58" s="156">
        <f>IFERROR(__xludf.DUMMYFUNCTION("""COMPUTED_VALUE"""),9.3)</f>
        <v>9.3</v>
      </c>
      <c r="I58" s="162">
        <f>IFERROR(__xludf.DUMMYFUNCTION("""COMPUTED_VALUE"""),0.0)</f>
        <v>0</v>
      </c>
      <c r="J58" s="158">
        <f>IFERROR(__xludf.DUMMYFUNCTION("""COMPUTED_VALUE"""),9.0)</f>
        <v>9</v>
      </c>
      <c r="K58" s="157"/>
      <c r="L58" s="161">
        <f>IFERROR(__xludf.DUMMYFUNCTION("""COMPUTED_VALUE"""),9.0)</f>
        <v>9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"/>
    </row>
    <row r="59" ht="24.75" customHeight="1">
      <c r="A59" s="154">
        <f>IFERROR(__xludf.DUMMYFUNCTION("""COMPUTED_VALUE"""),43.0)</f>
        <v>43</v>
      </c>
      <c r="B59" s="65" t="str">
        <f>IFERROR(__xludf.DUMMYFUNCTION("""COMPUTED_VALUE"""),"SILVA")</f>
        <v>SILVA</v>
      </c>
      <c r="C59" s="66" t="str">
        <f>IFERROR(__xludf.DUMMYFUNCTION("""COMPUTED_VALUE"""),"RAMIREZ")</f>
        <v>RAMIREZ</v>
      </c>
      <c r="D59" s="67" t="str">
        <f>IFERROR(__xludf.DUMMYFUNCTION("""COMPUTED_VALUE"""),"FERNANDA CAMILA")</f>
        <v>FERNANDA CAMILA</v>
      </c>
      <c r="E59" s="155">
        <f>IFERROR(__xludf.DUMMYFUNCTION("""COMPUTED_VALUE"""),7.3)</f>
        <v>7.3</v>
      </c>
      <c r="F59" s="155">
        <f>IFERROR(__xludf.DUMMYFUNCTION("""COMPUTED_VALUE"""),2.0)</f>
        <v>2</v>
      </c>
      <c r="G59" s="155">
        <f>IFERROR(__xludf.DUMMYFUNCTION("""COMPUTED_VALUE"""),0.0)</f>
        <v>0</v>
      </c>
      <c r="H59" s="156">
        <f>IFERROR(__xludf.DUMMYFUNCTION("""COMPUTED_VALUE"""),9.3)</f>
        <v>9.3</v>
      </c>
      <c r="I59" s="162">
        <f>IFERROR(__xludf.DUMMYFUNCTION("""COMPUTED_VALUE"""),0.0)</f>
        <v>0</v>
      </c>
      <c r="J59" s="158">
        <f>IFERROR(__xludf.DUMMYFUNCTION("""COMPUTED_VALUE"""),9.0)</f>
        <v>9</v>
      </c>
      <c r="K59" s="157"/>
      <c r="L59" s="161">
        <f>IFERROR(__xludf.DUMMYFUNCTION("""COMPUTED_VALUE"""),9.0)</f>
        <v>9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"/>
    </row>
    <row r="60" ht="24.75" customHeight="1">
      <c r="A60" s="154">
        <f>IFERROR(__xludf.DUMMYFUNCTION("""COMPUTED_VALUE"""),44.0)</f>
        <v>44</v>
      </c>
      <c r="B60" s="65" t="str">
        <f>IFERROR(__xludf.DUMMYFUNCTION("""COMPUTED_VALUE"""),"TORRES")</f>
        <v>TORRES</v>
      </c>
      <c r="C60" s="66" t="str">
        <f>IFERROR(__xludf.DUMMYFUNCTION("""COMPUTED_VALUE"""),"DE LEON")</f>
        <v>DE LEON</v>
      </c>
      <c r="D60" s="69" t="str">
        <f>IFERROR(__xludf.DUMMYFUNCTION("""COMPUTED_VALUE"""),"EVAN AMANI")</f>
        <v>EVAN AMANI</v>
      </c>
      <c r="E60" s="155">
        <f>IFERROR(__xludf.DUMMYFUNCTION("""COMPUTED_VALUE"""),7.1)</f>
        <v>7.1</v>
      </c>
      <c r="F60" s="155">
        <f>IFERROR(__xludf.DUMMYFUNCTION("""COMPUTED_VALUE"""),0.0)</f>
        <v>0</v>
      </c>
      <c r="G60" s="155">
        <f>IFERROR(__xludf.DUMMYFUNCTION("""COMPUTED_VALUE"""),0.0)</f>
        <v>0</v>
      </c>
      <c r="H60" s="156">
        <f>IFERROR(__xludf.DUMMYFUNCTION("""COMPUTED_VALUE"""),7.1)</f>
        <v>7.1</v>
      </c>
      <c r="I60" s="162">
        <f>IFERROR(__xludf.DUMMYFUNCTION("""COMPUTED_VALUE"""),0.0)</f>
        <v>0</v>
      </c>
      <c r="J60" s="158">
        <f>IFERROR(__xludf.DUMMYFUNCTION("""COMPUTED_VALUE"""),7.0)</f>
        <v>7</v>
      </c>
      <c r="K60" s="157"/>
      <c r="L60" s="161">
        <f>IFERROR(__xludf.DUMMYFUNCTION("""COMPUTED_VALUE"""),7.0)</f>
        <v>7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"/>
    </row>
    <row r="61" ht="24.75" customHeight="1">
      <c r="A61" s="154">
        <f>IFERROR(__xludf.DUMMYFUNCTION("""COMPUTED_VALUE"""),45.0)</f>
        <v>45</v>
      </c>
      <c r="B61" s="65" t="str">
        <f>IFERROR(__xludf.DUMMYFUNCTION("""COMPUTED_VALUE"""),"TREJO")</f>
        <v>TREJO</v>
      </c>
      <c r="C61" s="66" t="str">
        <f>IFERROR(__xludf.DUMMYFUNCTION("""COMPUTED_VALUE"""),"MARTINEZ")</f>
        <v>MARTINEZ</v>
      </c>
      <c r="D61" s="67" t="str">
        <f>IFERROR(__xludf.DUMMYFUNCTION("""COMPUTED_VALUE"""),"FERNANDO ALEXANDER")</f>
        <v>FERNANDO ALEXANDER</v>
      </c>
      <c r="E61" s="155">
        <f>IFERROR(__xludf.DUMMYFUNCTION("""COMPUTED_VALUE"""),5.6)</f>
        <v>5.6</v>
      </c>
      <c r="F61" s="155">
        <f>IFERROR(__xludf.DUMMYFUNCTION("""COMPUTED_VALUE"""),2.0)</f>
        <v>2</v>
      </c>
      <c r="G61" s="155">
        <f>IFERROR(__xludf.DUMMYFUNCTION("""COMPUTED_VALUE"""),0.0)</f>
        <v>0</v>
      </c>
      <c r="H61" s="156">
        <f>IFERROR(__xludf.DUMMYFUNCTION("""COMPUTED_VALUE"""),7.6)</f>
        <v>7.6</v>
      </c>
      <c r="I61" s="162">
        <f>IFERROR(__xludf.DUMMYFUNCTION("""COMPUTED_VALUE"""),0.0)</f>
        <v>0</v>
      </c>
      <c r="J61" s="158">
        <f>IFERROR(__xludf.DUMMYFUNCTION("""COMPUTED_VALUE"""),8.0)</f>
        <v>8</v>
      </c>
      <c r="K61" s="157"/>
      <c r="L61" s="161">
        <f>IFERROR(__xludf.DUMMYFUNCTION("""COMPUTED_VALUE"""),8.0)</f>
        <v>8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"/>
    </row>
    <row r="62" ht="24.75" customHeight="1">
      <c r="A62" s="154">
        <f>IFERROR(__xludf.DUMMYFUNCTION("""COMPUTED_VALUE"""),46.0)</f>
        <v>46</v>
      </c>
      <c r="B62" s="65" t="str">
        <f>IFERROR(__xludf.DUMMYFUNCTION("""COMPUTED_VALUE"""),"URIBE")</f>
        <v>URIBE</v>
      </c>
      <c r="C62" s="66" t="str">
        <f>IFERROR(__xludf.DUMMYFUNCTION("""COMPUTED_VALUE"""),"CHAVEZ")</f>
        <v>CHAVEZ</v>
      </c>
      <c r="D62" s="67" t="str">
        <f>IFERROR(__xludf.DUMMYFUNCTION("""COMPUTED_VALUE"""),"YOHAN YAMIL")</f>
        <v>YOHAN YAMIL</v>
      </c>
      <c r="E62" s="155">
        <f>IFERROR(__xludf.DUMMYFUNCTION("""COMPUTED_VALUE"""),5.8)</f>
        <v>5.8</v>
      </c>
      <c r="F62" s="155">
        <f>IFERROR(__xludf.DUMMYFUNCTION("""COMPUTED_VALUE"""),2.0)</f>
        <v>2</v>
      </c>
      <c r="G62" s="155">
        <f>IFERROR(__xludf.DUMMYFUNCTION("""COMPUTED_VALUE"""),0.0)</f>
        <v>0</v>
      </c>
      <c r="H62" s="156">
        <f>IFERROR(__xludf.DUMMYFUNCTION("""COMPUTED_VALUE"""),7.8)</f>
        <v>7.8</v>
      </c>
      <c r="I62" s="162">
        <f>IFERROR(__xludf.DUMMYFUNCTION("""COMPUTED_VALUE"""),0.0)</f>
        <v>0</v>
      </c>
      <c r="J62" s="158">
        <f>IFERROR(__xludf.DUMMYFUNCTION("""COMPUTED_VALUE"""),8.0)</f>
        <v>8</v>
      </c>
      <c r="K62" s="157"/>
      <c r="L62" s="161">
        <f>IFERROR(__xludf.DUMMYFUNCTION("""COMPUTED_VALUE"""),8.0)</f>
        <v>8</v>
      </c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"/>
    </row>
    <row r="63" ht="24.75" customHeight="1">
      <c r="A63" s="154">
        <f>IFERROR(__xludf.DUMMYFUNCTION("""COMPUTED_VALUE"""),47.0)</f>
        <v>47</v>
      </c>
      <c r="B63" s="65" t="str">
        <f>IFERROR(__xludf.DUMMYFUNCTION("""COMPUTED_VALUE"""),"VILORIO")</f>
        <v>VILORIO</v>
      </c>
      <c r="C63" s="66" t="str">
        <f>IFERROR(__xludf.DUMMYFUNCTION("""COMPUTED_VALUE"""),"VALLECILLO")</f>
        <v>VALLECILLO</v>
      </c>
      <c r="D63" s="67" t="str">
        <f>IFERROR(__xludf.DUMMYFUNCTION("""COMPUTED_VALUE"""),"KARLA IVETH")</f>
        <v>KARLA IVETH</v>
      </c>
      <c r="E63" s="155">
        <f>IFERROR(__xludf.DUMMYFUNCTION("""COMPUTED_VALUE"""),7.3)</f>
        <v>7.3</v>
      </c>
      <c r="F63" s="155">
        <f>IFERROR(__xludf.DUMMYFUNCTION("""COMPUTED_VALUE"""),2.0)</f>
        <v>2</v>
      </c>
      <c r="G63" s="155">
        <f>IFERROR(__xludf.DUMMYFUNCTION("""COMPUTED_VALUE"""),0.0)</f>
        <v>0</v>
      </c>
      <c r="H63" s="156">
        <f>IFERROR(__xludf.DUMMYFUNCTION("""COMPUTED_VALUE"""),9.3)</f>
        <v>9.3</v>
      </c>
      <c r="I63" s="162">
        <f>IFERROR(__xludf.DUMMYFUNCTION("""COMPUTED_VALUE"""),0.0)</f>
        <v>0</v>
      </c>
      <c r="J63" s="158">
        <f>IFERROR(__xludf.DUMMYFUNCTION("""COMPUTED_VALUE"""),9.0)</f>
        <v>9</v>
      </c>
      <c r="K63" s="157"/>
      <c r="L63" s="161">
        <f>IFERROR(__xludf.DUMMYFUNCTION("""COMPUTED_VALUE"""),9.0)</f>
        <v>9</v>
      </c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"/>
    </row>
    <row r="64" ht="24.75" customHeight="1">
      <c r="A64" s="126">
        <f>IFERROR(__xludf.DUMMYFUNCTION("""COMPUTED_VALUE"""),48.0)</f>
        <v>48</v>
      </c>
      <c r="B64" s="163" t="str">
        <f>IFERROR(__xludf.DUMMYFUNCTION("""COMPUTED_VALUE"""),"ZAMUDIO")</f>
        <v>ZAMUDIO</v>
      </c>
      <c r="C64" s="163" t="str">
        <f>IFERROR(__xludf.DUMMYFUNCTION("""COMPUTED_VALUE"""),"RUIZ")</f>
        <v>RUIZ</v>
      </c>
      <c r="D64" s="127" t="str">
        <f>IFERROR(__xludf.DUMMYFUNCTION("""COMPUTED_VALUE"""),"LEONARDO DAVID")</f>
        <v>LEONARDO DAVID</v>
      </c>
      <c r="E64" s="164">
        <f>IFERROR(__xludf.DUMMYFUNCTION("""COMPUTED_VALUE"""),7.8)</f>
        <v>7.8</v>
      </c>
      <c r="F64" s="164">
        <f>IFERROR(__xludf.DUMMYFUNCTION("""COMPUTED_VALUE"""),2.0)</f>
        <v>2</v>
      </c>
      <c r="G64" s="164">
        <f>IFERROR(__xludf.DUMMYFUNCTION("""COMPUTED_VALUE"""),0.0)</f>
        <v>0</v>
      </c>
      <c r="H64" s="164">
        <f>IFERROR(__xludf.DUMMYFUNCTION("""COMPUTED_VALUE"""),9.8)</f>
        <v>9.8</v>
      </c>
      <c r="I64" s="132">
        <f>IFERROR(__xludf.DUMMYFUNCTION("""COMPUTED_VALUE"""),0.0)</f>
        <v>0</v>
      </c>
      <c r="J64" s="165">
        <f>IFERROR(__xludf.DUMMYFUNCTION("""COMPUTED_VALUE"""),10.0)</f>
        <v>10</v>
      </c>
      <c r="K64" s="128"/>
      <c r="L64" s="165">
        <f>IFERROR(__xludf.DUMMYFUNCTION("""COMPUTED_VALUE"""),10.0)</f>
        <v>10</v>
      </c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"/>
    </row>
    <row r="65" ht="24.75" customHeight="1">
      <c r="A65" s="121"/>
      <c r="B65" s="166"/>
      <c r="C65" s="74"/>
      <c r="D65" s="167"/>
      <c r="E65" s="164"/>
      <c r="F65" s="168"/>
      <c r="G65" s="164"/>
      <c r="H65" s="168"/>
      <c r="J65" s="169"/>
      <c r="K65" s="170"/>
      <c r="L65" s="165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"/>
    </row>
    <row r="66" ht="24.75" customHeight="1">
      <c r="A66" s="121"/>
      <c r="B66" s="171" t="str">
        <f>IFERROR(__xludf.DUMMYFUNCTION("""COMPUTED_VALUE"""),"No. DE ALUMNOS INSCRITOS")</f>
        <v>No. DE ALUMNOS INSCRITOS</v>
      </c>
      <c r="C66" s="81"/>
      <c r="D66" s="172">
        <f>IFERROR(__xludf.DUMMYFUNCTION("""COMPUTED_VALUE"""),48.0)</f>
        <v>48</v>
      </c>
      <c r="E66" s="164"/>
      <c r="G66" s="164"/>
      <c r="K66" s="10"/>
      <c r="L66" s="165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"/>
    </row>
    <row r="67" ht="24.75" customHeight="1">
      <c r="A67" s="121"/>
      <c r="B67" s="171" t="str">
        <f>IFERROR(__xludf.DUMMYFUNCTION("""COMPUTED_VALUE"""),"BAJAS DURANTE EL SEMESTRE")</f>
        <v>BAJAS DURANTE EL SEMESTRE</v>
      </c>
      <c r="C67" s="81"/>
      <c r="D67" s="173">
        <f>IFERROR(__xludf.DUMMYFUNCTION("""COMPUTED_VALUE"""),0.0)</f>
        <v>0</v>
      </c>
      <c r="E67" s="164"/>
      <c r="F67" s="164"/>
      <c r="G67" s="164"/>
      <c r="H67" s="164"/>
      <c r="I67" s="132"/>
      <c r="J67" s="165"/>
      <c r="K67" s="128"/>
      <c r="L67" s="165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"/>
    </row>
    <row r="68" ht="24.75" customHeight="1">
      <c r="A68" s="121"/>
      <c r="B68" s="171" t="str">
        <f>IFERROR(__xludf.DUMMYFUNCTION("""COMPUTED_VALUE"""),"EXISTENCIA")</f>
        <v>EXISTENCIA</v>
      </c>
      <c r="C68" s="81"/>
      <c r="D68" s="174">
        <f>IFERROR(__xludf.DUMMYFUNCTION("""COMPUTED_VALUE"""),48.0)</f>
        <v>48</v>
      </c>
      <c r="E68" s="164"/>
      <c r="F68" s="164"/>
      <c r="G68" s="164"/>
      <c r="H68" s="164"/>
      <c r="I68" s="132"/>
      <c r="J68" s="165"/>
      <c r="K68" s="128"/>
      <c r="L68" s="165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"/>
    </row>
    <row r="69" ht="13.5" customHeight="1">
      <c r="A69" s="121"/>
      <c r="B69" s="171" t="str">
        <f>IFERROR(__xludf.DUMMYFUNCTION("""COMPUTED_VALUE"""),"No. DE ALUMNOS APROBADOS")</f>
        <v>No. DE ALUMNOS APROBADOS</v>
      </c>
      <c r="C69" s="81"/>
      <c r="D69" s="174">
        <f>IFERROR(__xludf.DUMMYFUNCTION("""COMPUTED_VALUE"""),39.0)</f>
        <v>39</v>
      </c>
      <c r="E69" s="132"/>
      <c r="F69" s="175"/>
      <c r="G69" s="127"/>
      <c r="H69" s="175"/>
      <c r="I69" s="175"/>
      <c r="J69" s="176"/>
      <c r="K69" s="177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"/>
    </row>
    <row r="70" ht="21.75" customHeight="1">
      <c r="A70" s="178"/>
      <c r="B70" s="171" t="str">
        <f>IFERROR(__xludf.DUMMYFUNCTION("""COMPUTED_VALUE"""),"No. DE ALUMNOS REPROBADOS")</f>
        <v>No. DE ALUMNOS REPROBADOS</v>
      </c>
      <c r="C70" s="81"/>
      <c r="D70" s="179">
        <f>IFERROR(__xludf.DUMMYFUNCTION("""COMPUTED_VALUE"""),9.0)</f>
        <v>9</v>
      </c>
      <c r="E70" s="127"/>
      <c r="F70" s="205"/>
      <c r="G70" s="130"/>
      <c r="H70" s="206"/>
      <c r="J70" s="206"/>
      <c r="K70" s="182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"/>
    </row>
    <row r="71" ht="21.75" customHeight="1">
      <c r="A71" s="178"/>
      <c r="B71" s="207" t="str">
        <f>IFERROR(__xludf.DUMMYFUNCTION("""COMPUTED_VALUE"""),"% DE APROBADOS")</f>
        <v>% DE APROBADOS</v>
      </c>
      <c r="C71" s="100"/>
      <c r="D71" s="184">
        <f>IFERROR(__xludf.DUMMYFUNCTION("""COMPUTED_VALUE"""),81.25)</f>
        <v>81.25</v>
      </c>
      <c r="E71" s="127"/>
      <c r="G71" s="130"/>
      <c r="K71" s="10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"/>
    </row>
    <row r="72" ht="21.75" customHeight="1">
      <c r="A72" s="185"/>
      <c r="B72" s="121" t="str">
        <f>IFERROR(__xludf.DUMMYFUNCTION("""COMPUTED_VALUE"""),"PROMEDIO")</f>
        <v>PROMEDIO</v>
      </c>
      <c r="C72" s="121"/>
      <c r="D72" s="208">
        <f>IFERROR(__xludf.DUMMYFUNCTION("""COMPUTED_VALUE"""),8.041666666666666)</f>
        <v>8.041666667</v>
      </c>
      <c r="E72" s="121"/>
      <c r="F72" s="121"/>
      <c r="G72" s="121"/>
      <c r="H72" s="121"/>
      <c r="I72" s="121"/>
      <c r="J72" s="121"/>
      <c r="K72" s="128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"/>
    </row>
    <row r="73" ht="21.75" customHeight="1">
      <c r="A73" s="186"/>
      <c r="B73" s="187"/>
      <c r="C73" s="188"/>
      <c r="D73" s="189"/>
      <c r="E73" s="127"/>
      <c r="G73" s="127"/>
      <c r="H73" s="127"/>
      <c r="I73" s="127"/>
      <c r="J73" s="127"/>
      <c r="K73" s="190"/>
      <c r="L73" s="127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"/>
    </row>
    <row r="74" ht="21.75" customHeight="1">
      <c r="A74" s="191"/>
      <c r="B74" s="127"/>
      <c r="C74" s="127"/>
      <c r="D74" s="163"/>
      <c r="E74" s="127"/>
      <c r="F74" s="121"/>
      <c r="G74" s="121"/>
      <c r="H74" s="121"/>
      <c r="I74" s="121"/>
      <c r="J74" s="121"/>
      <c r="K74" s="128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"/>
    </row>
    <row r="75" ht="27.75" customHeight="1">
      <c r="A75" s="191"/>
      <c r="B75" s="127"/>
      <c r="C75" s="127"/>
      <c r="D75" s="192"/>
      <c r="E75" s="127"/>
      <c r="F75" s="193"/>
      <c r="G75" s="121"/>
      <c r="H75" s="193"/>
      <c r="I75" s="193"/>
      <c r="J75" s="193"/>
      <c r="K75" s="194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"/>
    </row>
    <row r="76" ht="21.75" customHeight="1">
      <c r="A76" s="195"/>
      <c r="B76" s="196"/>
      <c r="C76" s="196"/>
      <c r="D76" s="197"/>
      <c r="E76" s="198"/>
      <c r="F76" s="199"/>
      <c r="G76" s="200"/>
      <c r="H76" s="199"/>
      <c r="I76" s="199"/>
      <c r="J76" s="199"/>
      <c r="K76" s="20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"/>
    </row>
    <row r="77" ht="13.5" customHeight="1">
      <c r="A77" s="121"/>
      <c r="B77" s="127"/>
      <c r="C77" s="127"/>
      <c r="D77" s="127"/>
      <c r="E77" s="127"/>
      <c r="F77" s="121"/>
      <c r="G77" s="121"/>
      <c r="H77" s="121"/>
      <c r="I77" s="121"/>
      <c r="J77" s="130"/>
      <c r="K77" s="130"/>
      <c r="L77" s="130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"/>
    </row>
    <row r="78" ht="13.5" customHeight="1">
      <c r="A78" s="121"/>
      <c r="B78" s="127"/>
      <c r="C78" s="127"/>
      <c r="D78" s="127"/>
      <c r="E78" s="127"/>
      <c r="F78" s="121"/>
      <c r="G78" s="121"/>
      <c r="H78" s="121"/>
      <c r="I78" s="121"/>
      <c r="J78" s="130"/>
      <c r="K78" s="130"/>
      <c r="L78" s="130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"/>
    </row>
    <row r="79" ht="13.5" customHeight="1">
      <c r="A79" s="121"/>
      <c r="B79" s="127"/>
      <c r="C79" s="127"/>
      <c r="D79" s="127"/>
      <c r="E79" s="127"/>
      <c r="F79" s="121"/>
      <c r="G79" s="121"/>
      <c r="H79" s="121"/>
      <c r="I79" s="121"/>
      <c r="J79" s="130"/>
      <c r="K79" s="130"/>
      <c r="L79" s="130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"/>
    </row>
    <row r="80" ht="13.5" customHeight="1">
      <c r="A80" s="121"/>
      <c r="B80" s="127"/>
      <c r="C80" s="127"/>
      <c r="D80" s="127"/>
      <c r="E80" s="127"/>
      <c r="F80" s="121"/>
      <c r="G80" s="121"/>
      <c r="H80" s="121"/>
      <c r="I80" s="121"/>
      <c r="J80" s="130"/>
      <c r="K80" s="130"/>
      <c r="L80" s="130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"/>
    </row>
    <row r="81" ht="13.5" customHeight="1">
      <c r="A81" s="121"/>
      <c r="B81" s="127"/>
      <c r="C81" s="127"/>
      <c r="D81" s="127"/>
      <c r="E81" s="127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"/>
    </row>
    <row r="82" ht="14.25" customHeight="1">
      <c r="A82" s="121"/>
      <c r="B82" s="127"/>
      <c r="C82" s="127"/>
      <c r="D82" s="127"/>
      <c r="E82" s="127"/>
      <c r="F82" s="121"/>
      <c r="G82" s="121"/>
      <c r="H82" s="121"/>
      <c r="I82" s="121"/>
      <c r="J82" s="121"/>
      <c r="K82" s="165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"/>
    </row>
    <row r="83" ht="14.25" customHeight="1">
      <c r="A83" s="121"/>
      <c r="B83" s="127"/>
      <c r="C83" s="127"/>
      <c r="D83" s="127"/>
      <c r="E83" s="127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"/>
    </row>
    <row r="84" ht="14.25" customHeight="1">
      <c r="A84" s="121"/>
      <c r="B84" s="127"/>
      <c r="C84" s="127"/>
      <c r="D84" s="127"/>
      <c r="E84" s="127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"/>
    </row>
    <row r="85" ht="14.25" customHeight="1">
      <c r="A85" s="121"/>
      <c r="B85" s="127"/>
      <c r="C85" s="127"/>
      <c r="D85" s="127"/>
      <c r="E85" s="127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"/>
    </row>
    <row r="86" ht="14.25" customHeight="1">
      <c r="A86" s="121"/>
      <c r="B86" s="127"/>
      <c r="C86" s="127"/>
      <c r="D86" s="127"/>
      <c r="E86" s="127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"/>
    </row>
    <row r="87" ht="14.25" customHeight="1">
      <c r="A87" s="121"/>
      <c r="B87" s="127"/>
      <c r="C87" s="127"/>
      <c r="D87" s="127"/>
      <c r="E87" s="127"/>
      <c r="F87" s="121"/>
      <c r="G87" s="121"/>
      <c r="H87" s="121"/>
      <c r="I87" s="121"/>
      <c r="J87" s="121"/>
      <c r="K87" s="165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"/>
    </row>
    <row r="88" ht="14.25" customHeight="1">
      <c r="A88" s="121"/>
      <c r="B88" s="127"/>
      <c r="C88" s="127"/>
      <c r="D88" s="127"/>
      <c r="E88" s="127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"/>
    </row>
    <row r="89" ht="14.2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"/>
    </row>
    <row r="90" ht="14.2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"/>
    </row>
    <row r="91" ht="14.2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"/>
    </row>
    <row r="92" ht="14.2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"/>
    </row>
    <row r="93" ht="14.2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"/>
    </row>
    <row r="94" ht="13.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"/>
    </row>
    <row r="95" ht="13.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"/>
    </row>
    <row r="96" ht="13.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"/>
    </row>
    <row r="97" ht="13.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"/>
    </row>
    <row r="98" ht="13.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"/>
    </row>
    <row r="99" ht="13.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"/>
    </row>
    <row r="100" ht="13.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"/>
    </row>
    <row r="101" ht="13.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"/>
    </row>
    <row r="102" ht="13.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"/>
    </row>
    <row r="103" ht="13.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"/>
    </row>
    <row r="104" ht="13.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"/>
    </row>
    <row r="105" ht="13.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"/>
    </row>
    <row r="106" ht="13.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"/>
    </row>
    <row r="107" ht="13.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"/>
    </row>
    <row r="108" ht="13.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"/>
    </row>
    <row r="109" ht="13.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"/>
    </row>
    <row r="110" ht="13.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"/>
    </row>
    <row r="111" ht="13.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"/>
    </row>
    <row r="112" ht="13.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"/>
    </row>
    <row r="113" ht="13.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"/>
    </row>
    <row r="114" ht="13.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"/>
    </row>
    <row r="115" ht="13.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"/>
    </row>
    <row r="116" ht="13.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"/>
    </row>
    <row r="117" ht="13.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"/>
    </row>
    <row r="118" ht="13.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"/>
    </row>
    <row r="119" ht="13.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"/>
    </row>
    <row r="120" ht="13.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"/>
    </row>
    <row r="121" ht="13.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"/>
    </row>
    <row r="122" ht="13.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"/>
    </row>
    <row r="123" ht="13.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"/>
    </row>
    <row r="124" ht="13.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"/>
    </row>
    <row r="125" ht="13.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"/>
    </row>
    <row r="126" ht="13.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"/>
    </row>
    <row r="127" ht="13.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"/>
    </row>
    <row r="128" ht="13.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"/>
    </row>
    <row r="129" ht="13.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"/>
    </row>
    <row r="130" ht="13.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"/>
    </row>
    <row r="131" ht="13.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"/>
    </row>
    <row r="132" ht="13.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"/>
    </row>
    <row r="133" ht="13.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"/>
    </row>
    <row r="134" ht="13.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"/>
    </row>
    <row r="135" ht="13.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"/>
    </row>
    <row r="136" ht="13.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"/>
    </row>
    <row r="137" ht="13.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"/>
    </row>
    <row r="138" ht="13.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"/>
    </row>
    <row r="139" ht="13.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"/>
    </row>
    <row r="140" ht="13.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"/>
    </row>
    <row r="141" ht="13.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"/>
    </row>
    <row r="142" ht="13.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"/>
    </row>
    <row r="143" ht="13.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"/>
    </row>
    <row r="144" ht="13.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"/>
    </row>
    <row r="145" ht="13.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"/>
    </row>
    <row r="146" ht="13.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"/>
    </row>
    <row r="147" ht="13.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"/>
    </row>
    <row r="148" ht="13.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"/>
    </row>
    <row r="149" ht="13.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"/>
    </row>
    <row r="150" ht="13.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"/>
    </row>
    <row r="151" ht="13.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"/>
    </row>
    <row r="152" ht="13.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"/>
    </row>
    <row r="153" ht="13.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"/>
    </row>
    <row r="154" ht="13.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"/>
    </row>
    <row r="155" ht="13.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"/>
    </row>
    <row r="156" ht="13.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"/>
    </row>
    <row r="157" ht="13.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"/>
    </row>
    <row r="158" ht="13.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"/>
    </row>
    <row r="159" ht="13.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"/>
    </row>
    <row r="160" ht="13.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"/>
    </row>
    <row r="161" ht="13.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"/>
    </row>
    <row r="162" ht="13.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"/>
    </row>
    <row r="163" ht="13.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"/>
    </row>
    <row r="164" ht="13.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"/>
    </row>
    <row r="165" ht="13.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"/>
    </row>
    <row r="166" ht="13.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"/>
    </row>
    <row r="167" ht="13.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"/>
    </row>
    <row r="168" ht="13.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"/>
    </row>
    <row r="169" ht="13.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"/>
    </row>
    <row r="170" ht="13.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"/>
    </row>
    <row r="171" ht="13.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"/>
    </row>
    <row r="172" ht="13.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"/>
    </row>
    <row r="173" ht="13.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"/>
    </row>
    <row r="174" ht="13.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"/>
    </row>
    <row r="175" ht="13.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"/>
    </row>
    <row r="176" ht="13.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"/>
    </row>
    <row r="177" ht="13.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"/>
    </row>
    <row r="178" ht="13.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"/>
    </row>
    <row r="179" ht="13.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"/>
    </row>
    <row r="180" ht="13.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"/>
    </row>
    <row r="181" ht="13.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"/>
    </row>
    <row r="182" ht="13.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"/>
    </row>
    <row r="183" ht="13.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"/>
    </row>
    <row r="184" ht="13.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"/>
    </row>
    <row r="185" ht="13.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"/>
    </row>
    <row r="186" ht="13.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"/>
    </row>
    <row r="187" ht="13.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"/>
    </row>
    <row r="188" ht="13.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"/>
    </row>
    <row r="189" ht="13.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"/>
    </row>
    <row r="190" ht="13.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"/>
    </row>
    <row r="191" ht="13.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"/>
    </row>
    <row r="192" ht="13.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"/>
    </row>
    <row r="193" ht="13.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"/>
    </row>
    <row r="194" ht="13.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"/>
    </row>
    <row r="195" ht="13.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"/>
    </row>
    <row r="196" ht="13.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"/>
    </row>
    <row r="197" ht="13.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"/>
    </row>
    <row r="198" ht="13.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"/>
    </row>
    <row r="199" ht="13.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"/>
    </row>
    <row r="200" ht="13.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"/>
    </row>
    <row r="201" ht="13.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"/>
    </row>
    <row r="202" ht="13.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"/>
    </row>
    <row r="203" ht="13.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"/>
    </row>
    <row r="204" ht="13.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"/>
    </row>
    <row r="205" ht="13.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"/>
    </row>
    <row r="206" ht="13.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"/>
    </row>
    <row r="207" ht="13.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"/>
    </row>
    <row r="208" ht="13.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"/>
    </row>
    <row r="209" ht="13.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"/>
    </row>
    <row r="210" ht="13.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"/>
    </row>
    <row r="211" ht="13.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"/>
    </row>
    <row r="212" ht="13.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"/>
    </row>
    <row r="213" ht="13.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"/>
    </row>
    <row r="214" ht="13.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"/>
    </row>
    <row r="215" ht="13.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"/>
    </row>
    <row r="216" ht="13.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"/>
    </row>
    <row r="217" ht="13.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"/>
    </row>
    <row r="218" ht="13.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"/>
    </row>
    <row r="219" ht="13.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"/>
    </row>
    <row r="220" ht="13.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"/>
    </row>
    <row r="221" ht="13.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"/>
    </row>
    <row r="222" ht="13.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"/>
    </row>
    <row r="223" ht="13.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"/>
    </row>
    <row r="224" ht="13.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"/>
    </row>
    <row r="225" ht="13.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"/>
    </row>
    <row r="226" ht="13.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"/>
    </row>
    <row r="227" ht="13.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"/>
    </row>
    <row r="228" ht="13.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"/>
    </row>
    <row r="229" ht="13.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"/>
    </row>
    <row r="230" ht="13.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"/>
    </row>
    <row r="231" ht="13.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"/>
    </row>
    <row r="232" ht="13.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"/>
    </row>
    <row r="233" ht="13.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"/>
    </row>
    <row r="234" ht="13.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"/>
    </row>
    <row r="235" ht="13.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"/>
    </row>
    <row r="236" ht="13.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"/>
    </row>
    <row r="237" ht="13.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"/>
    </row>
    <row r="238" ht="13.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"/>
    </row>
    <row r="239" ht="13.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"/>
    </row>
    <row r="240" ht="13.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"/>
    </row>
    <row r="241" ht="13.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"/>
    </row>
    <row r="242" ht="13.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"/>
    </row>
    <row r="243" ht="13.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"/>
    </row>
    <row r="244" ht="13.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"/>
    </row>
    <row r="245" ht="13.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"/>
    </row>
    <row r="246" ht="13.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"/>
    </row>
    <row r="247" ht="13.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"/>
    </row>
    <row r="248" ht="13.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"/>
    </row>
    <row r="249" ht="13.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"/>
    </row>
    <row r="250" ht="13.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"/>
    </row>
    <row r="251" ht="13.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"/>
    </row>
    <row r="252" ht="13.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"/>
    </row>
    <row r="253" ht="13.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"/>
    </row>
    <row r="254" ht="13.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"/>
    </row>
    <row r="255" ht="13.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"/>
    </row>
    <row r="256" ht="13.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"/>
    </row>
    <row r="257" ht="13.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"/>
    </row>
    <row r="258" ht="13.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"/>
    </row>
    <row r="259" ht="13.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"/>
    </row>
    <row r="260" ht="13.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"/>
    </row>
    <row r="261" ht="13.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"/>
    </row>
    <row r="262" ht="13.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"/>
    </row>
    <row r="263" ht="13.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"/>
    </row>
    <row r="264" ht="13.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"/>
    </row>
    <row r="265" ht="13.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"/>
    </row>
    <row r="266" ht="13.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"/>
    </row>
    <row r="267" ht="13.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"/>
    </row>
    <row r="268" ht="13.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"/>
    </row>
    <row r="269" ht="13.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"/>
    </row>
    <row r="270" ht="13.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"/>
    </row>
    <row r="271" ht="13.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"/>
    </row>
    <row r="272" ht="13.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"/>
    </row>
    <row r="273" ht="13.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"/>
    </row>
    <row r="274" ht="13.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"/>
    </row>
    <row r="275" ht="13.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"/>
    </row>
    <row r="276" ht="13.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ht="15.7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</row>
    <row r="278" ht="15.7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</row>
    <row r="279" ht="15.7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</row>
    <row r="280" ht="15.7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</row>
    <row r="281" ht="15.7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</row>
    <row r="282" ht="15.7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</row>
    <row r="283" ht="15.7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</row>
    <row r="284" ht="15.7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</row>
    <row r="285" ht="15.7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</row>
    <row r="286" ht="15.7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</row>
    <row r="287" ht="15.7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</row>
    <row r="288" ht="15.7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</row>
    <row r="289" ht="15.7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</row>
    <row r="290" ht="15.7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</row>
    <row r="291" ht="15.7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</row>
    <row r="292" ht="15.7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</row>
    <row r="293" ht="15.7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</row>
    <row r="294" ht="15.7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</row>
    <row r="295" ht="15.7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</row>
    <row r="296" ht="15.7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</row>
    <row r="297" ht="15.7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</row>
    <row r="298" ht="15.7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</row>
    <row r="299" ht="15.7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</row>
    <row r="300" ht="15.7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</row>
    <row r="301" ht="15.7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</row>
    <row r="302" ht="15.7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</row>
    <row r="303" ht="15.7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</row>
    <row r="304" ht="15.7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</row>
    <row r="305" ht="15.7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</row>
    <row r="306" ht="15.7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</row>
    <row r="307" ht="15.7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</row>
    <row r="308" ht="15.7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</row>
    <row r="309" ht="15.7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</row>
    <row r="310" ht="15.7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</row>
    <row r="311" ht="15.7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</row>
    <row r="312" ht="15.7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</row>
    <row r="313" ht="15.7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</row>
    <row r="314" ht="15.7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</row>
    <row r="315" ht="15.7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</row>
    <row r="316" ht="15.7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</row>
    <row r="317" ht="15.7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</row>
    <row r="318" ht="15.7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</row>
    <row r="319" ht="15.7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</row>
    <row r="320" ht="15.7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</row>
    <row r="321" ht="15.7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</row>
    <row r="322" ht="15.7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</row>
    <row r="323" ht="15.7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</row>
    <row r="324" ht="15.7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</row>
    <row r="325" ht="15.7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</row>
    <row r="326" ht="15.7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</row>
    <row r="327" ht="15.7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</row>
    <row r="328" ht="15.7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</row>
    <row r="329" ht="15.7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</row>
    <row r="330" ht="15.7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</row>
    <row r="331" ht="15.7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</row>
    <row r="332" ht="15.7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</row>
    <row r="333" ht="15.7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</row>
    <row r="334" ht="15.7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</row>
    <row r="335" ht="15.7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</row>
    <row r="336" ht="15.7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</row>
    <row r="337" ht="15.7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</row>
    <row r="338" ht="15.7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</row>
    <row r="339" ht="15.7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</row>
    <row r="340" ht="15.7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</row>
    <row r="341" ht="15.7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</row>
    <row r="342" ht="15.75" customHeight="1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</row>
    <row r="343" ht="15.75" customHeight="1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</row>
    <row r="344" ht="15.75" customHeight="1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</row>
    <row r="345" ht="15.75" customHeight="1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</row>
    <row r="346" ht="15.75" customHeight="1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</row>
    <row r="347" ht="15.75" customHeight="1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</row>
    <row r="348" ht="15.75" customHeight="1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</row>
    <row r="349" ht="15.75" customHeight="1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</row>
    <row r="350" ht="15.75" customHeight="1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</row>
    <row r="351" ht="15.75" customHeight="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</row>
    <row r="352" ht="15.75" customHeight="1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</row>
    <row r="353" ht="15.75" customHeight="1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</row>
    <row r="354" ht="15.75" customHeight="1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</row>
    <row r="355" ht="15.75" customHeight="1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</row>
    <row r="356" ht="15.75" customHeight="1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</row>
    <row r="357" ht="15.75" customHeight="1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</row>
    <row r="358" ht="15.75" customHeight="1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</row>
    <row r="359" ht="15.75" customHeight="1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</row>
    <row r="360" ht="15.75" customHeight="1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</row>
    <row r="361" ht="15.75" customHeight="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</row>
    <row r="362" ht="15.75" customHeight="1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</row>
    <row r="363" ht="15.75" customHeight="1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</row>
    <row r="364" ht="15.75" customHeight="1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</row>
    <row r="365" ht="15.75" customHeight="1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</row>
    <row r="366" ht="15.75" customHeight="1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</row>
    <row r="367" ht="15.75" customHeight="1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</row>
    <row r="368" ht="15.75" customHeight="1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</row>
    <row r="369" ht="15.75" customHeight="1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</row>
    <row r="370" ht="15.75" customHeight="1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</row>
    <row r="371" ht="15.75" customHeight="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</row>
    <row r="372" ht="15.75" customHeight="1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</row>
    <row r="373" ht="15.75" customHeight="1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</row>
    <row r="374" ht="15.75" customHeight="1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</row>
    <row r="375" ht="15.75" customHeight="1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</row>
    <row r="376" ht="15.75" customHeight="1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</row>
    <row r="377" ht="15.75" customHeight="1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</row>
    <row r="378" ht="15.75" customHeight="1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</row>
    <row r="379" ht="15.75" customHeight="1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</row>
    <row r="380" ht="15.75" customHeight="1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</row>
    <row r="381" ht="15.75" customHeight="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</row>
    <row r="382" ht="15.75" customHeight="1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</row>
    <row r="383" ht="15.75" customHeight="1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</row>
    <row r="384" ht="15.75" customHeight="1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</row>
    <row r="385" ht="15.75" customHeight="1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</row>
    <row r="386" ht="15.75" customHeight="1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</row>
    <row r="387" ht="15.75" customHeight="1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</row>
    <row r="388" ht="15.75" customHeight="1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</row>
    <row r="389" ht="15.75" customHeight="1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</row>
    <row r="390" ht="15.75" customHeight="1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</row>
    <row r="391" ht="15.75" customHeight="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</row>
    <row r="392" ht="15.75" customHeight="1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</row>
    <row r="393" ht="15.75" customHeight="1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</row>
    <row r="394" ht="15.75" customHeight="1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</row>
    <row r="395" ht="15.75" customHeight="1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</row>
    <row r="396" ht="15.75" customHeight="1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</row>
    <row r="397" ht="15.75" customHeight="1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</row>
    <row r="398" ht="15.75" customHeight="1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</row>
    <row r="399" ht="15.75" customHeight="1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</row>
    <row r="400" ht="15.75" customHeight="1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</row>
    <row r="401" ht="15.75" customHeight="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</row>
    <row r="402" ht="15.75" customHeight="1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</row>
    <row r="403" ht="15.75" customHeight="1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</row>
    <row r="404" ht="15.75" customHeight="1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</row>
    <row r="405" ht="15.75" customHeight="1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</row>
    <row r="406" ht="15.75" customHeight="1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</row>
    <row r="407" ht="15.75" customHeight="1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</row>
    <row r="408" ht="15.75" customHeight="1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</row>
    <row r="409" ht="15.75" customHeight="1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</row>
    <row r="410" ht="15.75" customHeight="1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</row>
    <row r="411" ht="15.75" customHeight="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</row>
    <row r="412" ht="15.75" customHeight="1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</row>
    <row r="413" ht="15.75" customHeight="1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</row>
    <row r="414" ht="15.75" customHeight="1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</row>
    <row r="415" ht="15.75" customHeight="1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</row>
    <row r="416" ht="15.75" customHeight="1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</row>
    <row r="417" ht="15.75" customHeight="1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</row>
    <row r="418" ht="15.75" customHeight="1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</row>
    <row r="419" ht="15.75" customHeight="1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</row>
    <row r="420" ht="15.75" customHeight="1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</row>
    <row r="421" ht="15.75" customHeight="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</row>
    <row r="422" ht="15.75" customHeight="1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</row>
    <row r="423" ht="15.75" customHeight="1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</row>
    <row r="424" ht="15.75" customHeight="1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</row>
    <row r="425" ht="15.75" customHeight="1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</row>
    <row r="426" ht="15.75" customHeight="1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</row>
    <row r="427" ht="15.75" customHeight="1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</row>
    <row r="428" ht="15.75" customHeight="1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</row>
    <row r="429" ht="15.75" customHeight="1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</row>
    <row r="430" ht="15.75" customHeight="1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</row>
    <row r="431" ht="15.75" customHeight="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</row>
    <row r="432" ht="15.75" customHeight="1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</row>
    <row r="433" ht="15.75" customHeight="1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</row>
    <row r="434" ht="15.75" customHeight="1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</row>
    <row r="435" ht="15.75" customHeight="1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</row>
    <row r="436" ht="15.75" customHeight="1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</row>
    <row r="437" ht="15.75" customHeight="1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</row>
    <row r="438" ht="15.75" customHeight="1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</row>
    <row r="439" ht="15.75" customHeight="1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</row>
    <row r="440" ht="15.75" customHeight="1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</row>
    <row r="441" ht="15.75" customHeight="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</row>
    <row r="442" ht="15.75" customHeight="1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</row>
    <row r="443" ht="15.75" customHeight="1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</row>
    <row r="444" ht="15.75" customHeight="1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</row>
    <row r="445" ht="15.75" customHeight="1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</row>
    <row r="446" ht="15.75" customHeight="1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</row>
    <row r="447" ht="15.75" customHeight="1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</row>
    <row r="448" ht="15.75" customHeight="1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</row>
    <row r="449" ht="15.75" customHeight="1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</row>
    <row r="450" ht="15.75" customHeight="1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</row>
    <row r="451" ht="15.75" customHeight="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</row>
    <row r="452" ht="15.75" customHeight="1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</row>
    <row r="453" ht="15.75" customHeight="1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</row>
    <row r="454" ht="15.75" customHeight="1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</row>
    <row r="455" ht="15.75" customHeight="1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</row>
    <row r="456" ht="15.75" customHeight="1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</row>
    <row r="457" ht="15.75" customHeight="1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</row>
    <row r="458" ht="15.75" customHeight="1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</row>
    <row r="459" ht="15.75" customHeight="1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</row>
    <row r="460" ht="15.75" customHeight="1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</row>
    <row r="461" ht="15.75" customHeight="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</row>
    <row r="462" ht="15.75" customHeight="1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</row>
    <row r="463" ht="15.75" customHeight="1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</row>
    <row r="464" ht="15.75" customHeight="1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</row>
    <row r="465" ht="15.75" customHeight="1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</row>
    <row r="466" ht="15.75" customHeight="1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</row>
    <row r="467" ht="15.75" customHeight="1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</row>
    <row r="468" ht="15.75" customHeight="1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</row>
    <row r="469" ht="15.75" customHeight="1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</row>
    <row r="470" ht="15.75" customHeight="1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</row>
    <row r="471" ht="15.75" customHeight="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</row>
    <row r="472" ht="15.75" customHeight="1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</row>
    <row r="473" ht="15.75" customHeight="1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</row>
    <row r="474" ht="15.75" customHeight="1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</row>
    <row r="475" ht="15.75" customHeight="1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</row>
    <row r="476" ht="15.75" customHeight="1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</row>
    <row r="477" ht="15.75" customHeight="1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</row>
    <row r="478" ht="15.75" customHeight="1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</row>
    <row r="479" ht="15.75" customHeight="1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</row>
    <row r="480" ht="15.75" customHeight="1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</row>
    <row r="481" ht="15.75" customHeight="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</row>
    <row r="482" ht="15.75" customHeight="1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</row>
    <row r="483" ht="15.75" customHeight="1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</row>
    <row r="484" ht="15.75" customHeight="1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</row>
    <row r="485" ht="15.75" customHeight="1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</row>
    <row r="486" ht="15.75" customHeight="1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</row>
    <row r="487" ht="15.75" customHeight="1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</row>
    <row r="488" ht="15.75" customHeight="1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</row>
    <row r="489" ht="15.75" customHeight="1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</row>
    <row r="490" ht="15.75" customHeight="1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</row>
    <row r="491" ht="15.75" customHeight="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</row>
    <row r="492" ht="15.75" customHeight="1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</row>
    <row r="493" ht="15.75" customHeight="1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</row>
    <row r="494" ht="15.75" customHeight="1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</row>
    <row r="495" ht="15.75" customHeight="1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</row>
    <row r="496" ht="15.75" customHeight="1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</row>
    <row r="497" ht="15.75" customHeight="1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</row>
    <row r="498" ht="15.75" customHeight="1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</row>
    <row r="499" ht="15.75" customHeight="1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</row>
    <row r="500" ht="15.75" customHeight="1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</row>
    <row r="501" ht="15.75" customHeight="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</row>
    <row r="502" ht="15.75" customHeight="1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</row>
    <row r="503" ht="15.75" customHeight="1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</row>
    <row r="504" ht="15.75" customHeight="1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</row>
    <row r="505" ht="15.75" customHeight="1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</row>
    <row r="506" ht="15.75" customHeight="1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</row>
    <row r="507" ht="15.75" customHeight="1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</row>
    <row r="508" ht="15.75" customHeight="1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</row>
    <row r="509" ht="15.75" customHeight="1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</row>
    <row r="510" ht="15.75" customHeight="1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</row>
    <row r="511" ht="15.75" customHeight="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</row>
    <row r="512" ht="15.75" customHeight="1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</row>
    <row r="513" ht="15.75" customHeight="1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</row>
    <row r="514" ht="15.75" customHeight="1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</row>
    <row r="515" ht="15.75" customHeight="1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</row>
    <row r="516" ht="15.75" customHeight="1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</row>
    <row r="517" ht="15.75" customHeight="1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</row>
    <row r="518" ht="15.75" customHeight="1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</row>
    <row r="519" ht="15.75" customHeight="1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</row>
    <row r="520" ht="15.75" customHeight="1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</row>
    <row r="521" ht="15.75" customHeight="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</row>
    <row r="522" ht="15.75" customHeight="1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</row>
    <row r="523" ht="15.75" customHeight="1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</row>
    <row r="524" ht="15.75" customHeight="1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</row>
    <row r="525" ht="15.75" customHeight="1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</row>
    <row r="526" ht="15.75" customHeight="1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</row>
    <row r="527" ht="15.75" customHeight="1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</row>
    <row r="528" ht="15.75" customHeight="1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</row>
    <row r="529" ht="15.75" customHeight="1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</row>
    <row r="530" ht="15.75" customHeight="1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</row>
    <row r="531" ht="15.75" customHeight="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</row>
    <row r="532" ht="15.75" customHeight="1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</row>
    <row r="533" ht="15.75" customHeight="1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</row>
    <row r="534" ht="15.75" customHeight="1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</row>
    <row r="535" ht="15.75" customHeight="1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</row>
    <row r="536" ht="15.75" customHeight="1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</row>
    <row r="537" ht="15.75" customHeight="1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</row>
    <row r="538" ht="15.75" customHeight="1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</row>
    <row r="539" ht="15.75" customHeight="1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</row>
    <row r="540" ht="15.75" customHeight="1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</row>
    <row r="541" ht="15.75" customHeight="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</row>
    <row r="542" ht="15.75" customHeight="1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</row>
    <row r="543" ht="15.75" customHeight="1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</row>
    <row r="544" ht="15.75" customHeight="1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</row>
    <row r="545" ht="15.75" customHeight="1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</row>
    <row r="546" ht="15.75" customHeight="1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</row>
    <row r="547" ht="15.75" customHeight="1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</row>
    <row r="548" ht="15.75" customHeight="1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</row>
    <row r="549" ht="15.75" customHeight="1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</row>
    <row r="550" ht="15.75" customHeight="1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</row>
    <row r="551" ht="15.75" customHeight="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</row>
    <row r="552" ht="15.75" customHeight="1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</row>
    <row r="553" ht="15.75" customHeight="1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</row>
    <row r="554" ht="15.75" customHeight="1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</row>
    <row r="555" ht="15.75" customHeight="1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</row>
    <row r="556" ht="15.75" customHeight="1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</row>
    <row r="557" ht="15.75" customHeight="1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</row>
    <row r="558" ht="15.75" customHeight="1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</row>
    <row r="559" ht="15.75" customHeight="1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</row>
    <row r="560" ht="15.75" customHeight="1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</row>
    <row r="561" ht="15.75" customHeight="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</row>
    <row r="562" ht="15.75" customHeight="1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</row>
    <row r="563" ht="15.75" customHeight="1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</row>
    <row r="564" ht="15.75" customHeight="1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</row>
    <row r="565" ht="15.75" customHeight="1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</row>
    <row r="566" ht="15.75" customHeight="1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</row>
    <row r="567" ht="15.75" customHeight="1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</row>
    <row r="568" ht="15.75" customHeight="1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</row>
    <row r="569" ht="15.75" customHeight="1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</row>
    <row r="570" ht="15.75" customHeight="1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</row>
    <row r="571" ht="15.75" customHeight="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</row>
    <row r="572" ht="15.75" customHeight="1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</row>
    <row r="573" ht="15.75" customHeight="1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</row>
    <row r="574" ht="15.75" customHeight="1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</row>
    <row r="575" ht="15.75" customHeight="1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</row>
    <row r="576" ht="15.75" customHeight="1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</row>
    <row r="577" ht="15.75" customHeight="1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</row>
    <row r="578" ht="15.75" customHeight="1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</row>
    <row r="579" ht="15.75" customHeight="1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</row>
    <row r="580" ht="15.75" customHeight="1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</row>
    <row r="581" ht="15.75" customHeight="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</row>
    <row r="582" ht="15.75" customHeight="1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</row>
    <row r="583" ht="15.75" customHeight="1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</row>
    <row r="584" ht="15.75" customHeight="1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</row>
    <row r="585" ht="15.75" customHeight="1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</row>
    <row r="586" ht="15.75" customHeight="1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</row>
    <row r="587" ht="15.75" customHeight="1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</row>
    <row r="588" ht="15.75" customHeight="1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</row>
    <row r="589" ht="15.75" customHeight="1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</row>
    <row r="590" ht="15.75" customHeight="1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</row>
    <row r="591" ht="15.75" customHeight="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</row>
    <row r="592" ht="15.75" customHeight="1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</row>
    <row r="593" ht="15.75" customHeight="1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</row>
    <row r="594" ht="15.75" customHeight="1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</row>
    <row r="595" ht="15.75" customHeight="1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</row>
    <row r="596" ht="15.75" customHeight="1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</row>
    <row r="597" ht="15.75" customHeight="1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</row>
    <row r="598" ht="15.75" customHeight="1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</row>
    <row r="599" ht="15.75" customHeight="1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</row>
    <row r="600" ht="15.75" customHeight="1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</row>
    <row r="601" ht="15.75" customHeight="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</row>
    <row r="602" ht="15.75" customHeight="1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</row>
    <row r="603" ht="15.75" customHeight="1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</row>
    <row r="604" ht="15.75" customHeight="1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</row>
    <row r="605" ht="15.75" customHeight="1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</row>
    <row r="606" ht="15.75" customHeight="1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</row>
    <row r="607" ht="15.75" customHeight="1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</row>
    <row r="608" ht="15.75" customHeight="1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</row>
    <row r="609" ht="15.75" customHeight="1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</row>
    <row r="610" ht="15.75" customHeight="1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</row>
    <row r="611" ht="15.75" customHeight="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</row>
    <row r="612" ht="15.75" customHeight="1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</row>
    <row r="613" ht="15.75" customHeight="1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</row>
    <row r="614" ht="15.75" customHeight="1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</row>
    <row r="615" ht="15.75" customHeight="1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</row>
    <row r="616" ht="15.75" customHeight="1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</row>
    <row r="617" ht="15.75" customHeight="1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</row>
    <row r="618" ht="15.75" customHeight="1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</row>
    <row r="619" ht="15.75" customHeight="1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</row>
    <row r="620" ht="15.75" customHeight="1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</row>
    <row r="621" ht="15.75" customHeight="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</row>
    <row r="622" ht="15.75" customHeight="1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</row>
    <row r="623" ht="15.75" customHeight="1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</row>
    <row r="624" ht="15.75" customHeight="1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</row>
    <row r="625" ht="15.75" customHeight="1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</row>
    <row r="626" ht="15.75" customHeight="1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</row>
    <row r="627" ht="15.75" customHeight="1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</row>
    <row r="628" ht="15.75" customHeight="1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</row>
    <row r="629" ht="15.75" customHeight="1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</row>
    <row r="630" ht="15.75" customHeight="1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</row>
    <row r="631" ht="15.75" customHeight="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</row>
    <row r="632" ht="15.75" customHeight="1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</row>
    <row r="633" ht="15.75" customHeight="1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</row>
    <row r="634" ht="15.75" customHeight="1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</row>
    <row r="635" ht="15.75" customHeight="1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</row>
    <row r="636" ht="15.75" customHeight="1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</row>
    <row r="637" ht="15.75" customHeight="1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</row>
    <row r="638" ht="15.75" customHeight="1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</row>
    <row r="639" ht="15.75" customHeight="1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</row>
    <row r="640" ht="15.75" customHeight="1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</row>
    <row r="641" ht="15.75" customHeight="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</row>
    <row r="642" ht="15.75" customHeight="1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</row>
    <row r="643" ht="15.75" customHeight="1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</row>
    <row r="644" ht="15.75" customHeight="1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</row>
    <row r="645" ht="15.75" customHeight="1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</row>
    <row r="646" ht="15.75" customHeight="1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</row>
    <row r="647" ht="15.75" customHeight="1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</row>
    <row r="648" ht="15.75" customHeight="1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</row>
    <row r="649" ht="15.75" customHeight="1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</row>
    <row r="650" ht="15.75" customHeight="1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</row>
    <row r="651" ht="15.75" customHeight="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</row>
    <row r="652" ht="15.75" customHeight="1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</row>
    <row r="653" ht="15.75" customHeight="1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</row>
    <row r="654" ht="15.75" customHeight="1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</row>
    <row r="655" ht="15.75" customHeight="1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</row>
    <row r="656" ht="15.75" customHeight="1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</row>
    <row r="657" ht="15.75" customHeight="1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</row>
    <row r="658" ht="15.75" customHeight="1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</row>
    <row r="659" ht="15.75" customHeight="1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</row>
    <row r="660" ht="15.75" customHeight="1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</row>
    <row r="661" ht="15.75" customHeight="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</row>
    <row r="662" ht="15.75" customHeight="1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</row>
    <row r="663" ht="15.75" customHeight="1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</row>
    <row r="664" ht="15.75" customHeight="1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</row>
    <row r="665" ht="15.75" customHeight="1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</row>
    <row r="666" ht="15.75" customHeight="1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</row>
    <row r="667" ht="15.75" customHeight="1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</row>
    <row r="668" ht="15.75" customHeight="1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</row>
    <row r="669" ht="15.75" customHeight="1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</row>
    <row r="670" ht="15.75" customHeight="1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</row>
    <row r="671" ht="15.75" customHeight="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</row>
    <row r="672" ht="15.75" customHeight="1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</row>
    <row r="673" ht="15.75" customHeight="1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</row>
    <row r="674" ht="15.75" customHeight="1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</row>
    <row r="675" ht="15.75" customHeight="1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</row>
    <row r="676" ht="15.75" customHeight="1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</row>
    <row r="677" ht="15.75" customHeight="1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</row>
    <row r="678" ht="15.75" customHeight="1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</row>
    <row r="679" ht="15.75" customHeight="1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</row>
    <row r="680" ht="15.75" customHeight="1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</row>
    <row r="681" ht="15.75" customHeight="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</row>
    <row r="682" ht="15.75" customHeight="1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</row>
    <row r="683" ht="15.75" customHeight="1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</row>
    <row r="684" ht="15.75" customHeight="1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</row>
    <row r="685" ht="15.75" customHeight="1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</row>
    <row r="686" ht="15.75" customHeight="1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</row>
    <row r="687" ht="15.75" customHeight="1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</row>
    <row r="688" ht="15.75" customHeight="1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</row>
    <row r="689" ht="15.75" customHeight="1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</row>
    <row r="690" ht="15.75" customHeight="1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</row>
    <row r="691" ht="15.75" customHeight="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</row>
    <row r="692" ht="15.75" customHeight="1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</row>
    <row r="693" ht="15.75" customHeight="1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</row>
    <row r="694" ht="15.75" customHeight="1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</row>
    <row r="695" ht="15.75" customHeight="1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</row>
    <row r="696" ht="15.75" customHeight="1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</row>
    <row r="697" ht="15.75" customHeight="1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</row>
    <row r="698" ht="15.75" customHeight="1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</row>
    <row r="699" ht="15.75" customHeight="1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</row>
    <row r="700" ht="15.75" customHeight="1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</row>
    <row r="701" ht="15.75" customHeight="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</row>
    <row r="702" ht="15.75" customHeight="1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</row>
    <row r="703" ht="15.75" customHeight="1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</row>
    <row r="704" ht="15.75" customHeight="1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</row>
    <row r="705" ht="15.75" customHeight="1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</row>
    <row r="706" ht="15.75" customHeight="1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</row>
    <row r="707" ht="15.75" customHeight="1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</row>
    <row r="708" ht="15.75" customHeight="1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</row>
    <row r="709" ht="15.75" customHeight="1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</row>
    <row r="710" ht="15.75" customHeight="1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</row>
    <row r="711" ht="15.75" customHeight="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</row>
    <row r="712" ht="15.75" customHeight="1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</row>
    <row r="713" ht="15.75" customHeight="1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</row>
    <row r="714" ht="15.75" customHeight="1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</row>
    <row r="715" ht="15.75" customHeight="1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</row>
    <row r="716" ht="15.75" customHeight="1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</row>
    <row r="717" ht="15.75" customHeight="1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</row>
    <row r="718" ht="15.75" customHeight="1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</row>
    <row r="719" ht="15.75" customHeight="1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</row>
    <row r="720" ht="15.75" customHeight="1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</row>
    <row r="721" ht="15.75" customHeight="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</row>
    <row r="722" ht="15.75" customHeight="1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</row>
    <row r="723" ht="15.75" customHeight="1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</row>
    <row r="724" ht="15.75" customHeight="1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</row>
    <row r="725" ht="15.75" customHeight="1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</row>
    <row r="726" ht="15.75" customHeight="1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</row>
    <row r="727" ht="15.75" customHeight="1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</row>
    <row r="728" ht="15.75" customHeight="1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</row>
    <row r="729" ht="15.75" customHeight="1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</row>
    <row r="730" ht="15.75" customHeight="1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</row>
    <row r="731" ht="15.75" customHeight="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</row>
    <row r="732" ht="15.75" customHeight="1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</row>
    <row r="733" ht="15.75" customHeight="1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</row>
    <row r="734" ht="15.75" customHeight="1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</row>
    <row r="735" ht="15.75" customHeight="1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</row>
    <row r="736" ht="15.75" customHeight="1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</row>
    <row r="737" ht="15.75" customHeight="1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</row>
    <row r="738" ht="15.75" customHeight="1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</row>
    <row r="739" ht="15.75" customHeight="1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</row>
    <row r="740" ht="15.75" customHeight="1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</row>
    <row r="741" ht="15.75" customHeight="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</row>
    <row r="742" ht="15.75" customHeight="1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</row>
    <row r="743" ht="15.75" customHeight="1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</row>
    <row r="744" ht="15.75" customHeight="1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</row>
    <row r="745" ht="15.75" customHeight="1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</row>
    <row r="746" ht="15.75" customHeight="1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</row>
    <row r="747" ht="15.75" customHeight="1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</row>
    <row r="748" ht="15.75" customHeight="1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</row>
    <row r="749" ht="15.75" customHeight="1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</row>
    <row r="750" ht="15.75" customHeight="1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</row>
    <row r="751" ht="15.75" customHeight="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</row>
    <row r="752" ht="15.75" customHeight="1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</row>
    <row r="753" ht="15.75" customHeight="1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</row>
    <row r="754" ht="15.75" customHeight="1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</row>
    <row r="755" ht="15.75" customHeight="1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</row>
    <row r="756" ht="15.75" customHeight="1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</row>
    <row r="757" ht="15.75" customHeight="1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</row>
    <row r="758" ht="15.75" customHeight="1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</row>
    <row r="759" ht="15.75" customHeight="1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</row>
    <row r="760" ht="15.75" customHeight="1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</row>
    <row r="761" ht="15.75" customHeight="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</row>
    <row r="762" ht="15.75" customHeight="1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</row>
    <row r="763" ht="15.75" customHeight="1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</row>
    <row r="764" ht="15.75" customHeight="1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</row>
    <row r="765" ht="15.75" customHeight="1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</row>
    <row r="766" ht="15.75" customHeight="1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</row>
    <row r="767" ht="15.75" customHeight="1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</row>
    <row r="768" ht="15.75" customHeight="1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</row>
    <row r="769" ht="15.75" customHeight="1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</row>
    <row r="770" ht="15.75" customHeight="1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</row>
    <row r="771" ht="15.75" customHeight="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</row>
    <row r="772" ht="15.75" customHeight="1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</row>
    <row r="773" ht="15.75" customHeight="1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</row>
    <row r="774" ht="15.75" customHeight="1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</row>
    <row r="775" ht="15.75" customHeight="1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</row>
    <row r="776" ht="15.75" customHeight="1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</row>
    <row r="777" ht="15.75" customHeight="1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</row>
    <row r="778" ht="15.75" customHeight="1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</row>
    <row r="779" ht="15.75" customHeight="1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</row>
    <row r="780" ht="15.75" customHeight="1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</row>
    <row r="781" ht="15.75" customHeight="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</row>
    <row r="782" ht="15.75" customHeight="1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</row>
    <row r="783" ht="15.75" customHeight="1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</row>
    <row r="784" ht="15.75" customHeight="1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</row>
    <row r="785" ht="15.75" customHeight="1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</row>
    <row r="786" ht="15.75" customHeight="1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</row>
    <row r="787" ht="15.75" customHeight="1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</row>
    <row r="788" ht="15.75" customHeight="1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</row>
    <row r="789" ht="15.75" customHeight="1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</row>
    <row r="790" ht="15.75" customHeight="1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</row>
    <row r="791" ht="15.75" customHeight="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</row>
    <row r="792" ht="15.75" customHeight="1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</row>
    <row r="793" ht="15.75" customHeight="1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</row>
    <row r="794" ht="15.75" customHeight="1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</row>
    <row r="795" ht="15.75" customHeight="1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</row>
    <row r="796" ht="15.75" customHeight="1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</row>
    <row r="797" ht="15.75" customHeight="1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</row>
    <row r="798" ht="15.75" customHeight="1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</row>
    <row r="799" ht="15.75" customHeight="1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</row>
    <row r="800" ht="15.75" customHeight="1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</row>
    <row r="801" ht="15.75" customHeight="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</row>
    <row r="802" ht="15.75" customHeight="1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</row>
    <row r="803" ht="15.75" customHeight="1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</row>
    <row r="804" ht="15.75" customHeight="1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</row>
    <row r="805" ht="15.75" customHeight="1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</row>
    <row r="806" ht="15.75" customHeight="1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</row>
    <row r="807" ht="15.75" customHeight="1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</row>
    <row r="808" ht="15.75" customHeight="1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</row>
    <row r="809" ht="15.75" customHeight="1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</row>
    <row r="810" ht="15.75" customHeight="1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</row>
    <row r="811" ht="15.75" customHeight="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</row>
    <row r="812" ht="15.75" customHeight="1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</row>
    <row r="813" ht="15.75" customHeight="1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</row>
    <row r="814" ht="15.75" customHeight="1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</row>
    <row r="815" ht="15.75" customHeight="1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</row>
    <row r="816" ht="15.75" customHeight="1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</row>
    <row r="817" ht="15.75" customHeight="1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</row>
    <row r="818" ht="15.75" customHeight="1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</row>
    <row r="819" ht="15.75" customHeight="1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</row>
    <row r="820" ht="15.75" customHeight="1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</row>
    <row r="821" ht="15.75" customHeight="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</row>
    <row r="822" ht="15.75" customHeight="1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</row>
    <row r="823" ht="15.75" customHeight="1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</row>
    <row r="824" ht="15.75" customHeight="1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</row>
    <row r="825" ht="15.75" customHeight="1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</row>
    <row r="826" ht="15.75" customHeight="1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</row>
    <row r="827" ht="15.75" customHeight="1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</row>
    <row r="828" ht="15.75" customHeight="1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</row>
    <row r="829" ht="15.75" customHeight="1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</row>
    <row r="830" ht="15.75" customHeight="1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</row>
    <row r="831" ht="15.75" customHeight="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</row>
    <row r="832" ht="15.75" customHeight="1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</row>
    <row r="833" ht="15.75" customHeight="1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</row>
    <row r="834" ht="15.75" customHeight="1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</row>
    <row r="835" ht="15.75" customHeight="1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</row>
    <row r="836" ht="15.75" customHeight="1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</row>
    <row r="837" ht="15.75" customHeight="1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</row>
    <row r="838" ht="15.75" customHeight="1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</row>
    <row r="839" ht="15.75" customHeight="1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</row>
    <row r="840" ht="15.75" customHeight="1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</row>
    <row r="841" ht="15.75" customHeight="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</row>
    <row r="842" ht="15.75" customHeight="1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</row>
    <row r="843" ht="15.75" customHeight="1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</row>
    <row r="844" ht="15.75" customHeight="1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</row>
    <row r="845" ht="15.75" customHeight="1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</row>
    <row r="846" ht="15.75" customHeight="1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</row>
    <row r="847" ht="15.75" customHeight="1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</row>
    <row r="848" ht="15.75" customHeight="1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</row>
    <row r="849" ht="15.75" customHeight="1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</row>
    <row r="850" ht="15.75" customHeight="1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</row>
    <row r="851" ht="15.75" customHeight="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</row>
    <row r="852" ht="15.75" customHeight="1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</row>
    <row r="853" ht="15.75" customHeight="1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</row>
    <row r="854" ht="15.75" customHeight="1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</row>
    <row r="855" ht="15.75" customHeight="1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</row>
    <row r="856" ht="15.75" customHeight="1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</row>
    <row r="857" ht="15.75" customHeight="1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</row>
    <row r="858" ht="15.75" customHeight="1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</row>
    <row r="859" ht="15.75" customHeight="1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</row>
    <row r="860" ht="15.75" customHeight="1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</row>
    <row r="861" ht="15.75" customHeight="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</row>
    <row r="862" ht="15.75" customHeight="1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</row>
    <row r="863" ht="15.75" customHeight="1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</row>
    <row r="864" ht="15.75" customHeight="1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</row>
    <row r="865" ht="15.75" customHeight="1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</row>
    <row r="866" ht="15.75" customHeight="1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</row>
    <row r="867" ht="15.75" customHeight="1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</row>
    <row r="868" ht="15.75" customHeight="1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</row>
    <row r="869" ht="15.75" customHeight="1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</row>
    <row r="870" ht="15.75" customHeight="1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</row>
    <row r="871" ht="15.75" customHeight="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</row>
    <row r="872" ht="15.75" customHeight="1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</row>
    <row r="873" ht="15.75" customHeight="1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</row>
    <row r="874" ht="15.75" customHeight="1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</row>
    <row r="875" ht="15.75" customHeight="1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</row>
    <row r="876" ht="15.75" customHeight="1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</row>
    <row r="877" ht="15.75" customHeight="1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</row>
    <row r="878" ht="15.75" customHeight="1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</row>
    <row r="879" ht="15.75" customHeight="1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</row>
    <row r="880" ht="15.75" customHeight="1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</row>
    <row r="881" ht="15.75" customHeight="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</row>
    <row r="882" ht="15.75" customHeight="1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</row>
    <row r="883" ht="15.75" customHeight="1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</row>
    <row r="884" ht="15.75" customHeight="1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</row>
    <row r="885" ht="15.75" customHeight="1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</row>
    <row r="886" ht="15.75" customHeight="1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</row>
    <row r="887" ht="15.75" customHeight="1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</row>
    <row r="888" ht="15.75" customHeight="1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</row>
    <row r="889" ht="15.75" customHeight="1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</row>
    <row r="890" ht="15.75" customHeight="1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</row>
    <row r="891" ht="15.75" customHeight="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</row>
    <row r="892" ht="15.75" customHeight="1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</row>
    <row r="893" ht="15.75" customHeight="1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</row>
    <row r="894" ht="15.75" customHeight="1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</row>
    <row r="895" ht="15.75" customHeight="1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</row>
    <row r="896" ht="15.75" customHeight="1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</row>
    <row r="897" ht="15.75" customHeight="1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</row>
    <row r="898" ht="15.75" customHeight="1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</row>
    <row r="899" ht="15.75" customHeight="1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</row>
    <row r="900" ht="15.75" customHeight="1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</row>
    <row r="901" ht="15.75" customHeight="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</row>
    <row r="902" ht="15.75" customHeight="1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</row>
    <row r="903" ht="15.75" customHeight="1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</row>
    <row r="904" ht="15.75" customHeight="1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</row>
    <row r="905" ht="15.75" customHeight="1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</row>
    <row r="906" ht="15.75" customHeight="1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</row>
    <row r="907" ht="15.75" customHeight="1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</row>
    <row r="908" ht="15.75" customHeight="1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</row>
    <row r="909" ht="15.75" customHeight="1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</row>
    <row r="910" ht="15.75" customHeight="1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</row>
    <row r="911" ht="15.75" customHeight="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</row>
    <row r="912" ht="15.75" customHeight="1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</row>
    <row r="913" ht="15.75" customHeight="1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</row>
    <row r="914" ht="15.75" customHeight="1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</row>
    <row r="915" ht="15.75" customHeight="1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</row>
    <row r="916" ht="15.75" customHeight="1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</row>
    <row r="917" ht="15.75" customHeight="1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</row>
    <row r="918" ht="15.75" customHeight="1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</row>
    <row r="919" ht="15.75" customHeight="1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</row>
    <row r="920" ht="15.75" customHeight="1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</row>
    <row r="921" ht="15.75" customHeight="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</row>
    <row r="922" ht="15.75" customHeight="1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</row>
    <row r="923" ht="15.75" customHeight="1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</row>
    <row r="924" ht="15.75" customHeight="1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</row>
    <row r="925" ht="15.75" customHeight="1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</row>
    <row r="926" ht="15.75" customHeight="1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</row>
    <row r="927" ht="15.75" customHeight="1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</row>
    <row r="928" ht="15.75" customHeight="1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</row>
    <row r="929" ht="15.75" customHeight="1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</row>
    <row r="930" ht="15.75" customHeight="1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</row>
    <row r="931" ht="15.75" customHeight="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</row>
    <row r="932" ht="15.75" customHeight="1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</row>
    <row r="933" ht="15.75" customHeight="1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</row>
    <row r="934" ht="15.75" customHeight="1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</row>
    <row r="935" ht="15.75" customHeight="1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</row>
    <row r="936" ht="15.75" customHeight="1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</row>
    <row r="937" ht="15.75" customHeight="1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</row>
    <row r="938" ht="15.75" customHeight="1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</row>
    <row r="939" ht="15.75" customHeight="1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</row>
    <row r="940" ht="15.75" customHeight="1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</row>
    <row r="941" ht="15.75" customHeight="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</row>
    <row r="942" ht="15.75" customHeight="1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</row>
    <row r="943" ht="15.75" customHeight="1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</row>
    <row r="944" ht="15.75" customHeight="1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</row>
    <row r="945" ht="15.75" customHeight="1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</row>
    <row r="946" ht="15.75" customHeight="1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</row>
    <row r="947" ht="15.75" customHeight="1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</row>
    <row r="948" ht="15.75" customHeight="1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</row>
    <row r="949" ht="15.75" customHeight="1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</row>
    <row r="950" ht="15.75" customHeight="1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</row>
    <row r="951" ht="15.75" customHeight="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</row>
    <row r="952" ht="15.75" customHeight="1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</row>
    <row r="953" ht="15.75" customHeight="1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</row>
    <row r="954" ht="15.75" customHeight="1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</row>
    <row r="955" ht="15.75" customHeight="1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</row>
    <row r="956" ht="15.75" customHeight="1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</row>
    <row r="957" ht="15.75" customHeight="1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</row>
    <row r="958" ht="15.75" customHeight="1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</row>
    <row r="959" ht="15.75" customHeight="1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</row>
    <row r="960" ht="15.75" customHeight="1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</row>
    <row r="961" ht="15.75" customHeight="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</row>
    <row r="962" ht="15.75" customHeight="1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</row>
    <row r="963" ht="15.75" customHeight="1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</row>
    <row r="964" ht="15.75" customHeight="1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</row>
    <row r="965" ht="15.75" customHeight="1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</row>
    <row r="966" ht="15.75" customHeight="1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</row>
    <row r="967" ht="15.75" customHeight="1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</row>
    <row r="968" ht="15.75" customHeight="1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</row>
    <row r="969" ht="15.75" customHeight="1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</row>
    <row r="970" ht="15.75" customHeight="1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</row>
    <row r="971" ht="15.75" customHeight="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</row>
    <row r="972" ht="15.75" customHeight="1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</row>
    <row r="973" ht="15.75" customHeight="1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</row>
    <row r="974" ht="15.75" customHeight="1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</row>
    <row r="975" ht="15.75" customHeight="1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</row>
    <row r="976" ht="15.75" customHeight="1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</row>
    <row r="977" ht="15.75" customHeight="1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</row>
    <row r="978" ht="15.75" customHeight="1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</row>
    <row r="979" ht="15.75" customHeight="1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</row>
    <row r="980" ht="15.75" customHeight="1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</row>
    <row r="981" ht="15.75" customHeight="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</row>
    <row r="982" ht="15.75" customHeight="1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</row>
    <row r="983" ht="15.75" customHeight="1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</row>
    <row r="984" ht="15.75" customHeight="1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</row>
    <row r="985" ht="15.75" customHeight="1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</row>
    <row r="986" ht="15.75" customHeight="1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</row>
    <row r="987" ht="15.75" customHeight="1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</row>
    <row r="988" ht="15.75" customHeight="1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</row>
    <row r="989" ht="15.75" customHeight="1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</row>
    <row r="990" ht="15.75" customHeight="1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</row>
    <row r="991" ht="15.75" customHeight="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</row>
    <row r="992" ht="15.75" customHeight="1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</row>
    <row r="993" ht="15.75" customHeight="1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</row>
    <row r="994" ht="15.75" customHeight="1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</row>
    <row r="995" ht="15.75" customHeight="1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</row>
    <row r="996" ht="15.75" customHeight="1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</row>
    <row r="997" ht="15.75" customHeight="1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</row>
    <row r="998" ht="15.75" customHeight="1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</row>
    <row r="999" ht="15.75" customHeight="1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</row>
    <row r="1000" ht="15.75" customHeight="1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</row>
    <row r="1001" ht="15.75" customHeight="1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</row>
    <row r="1002" ht="15.75" customHeight="1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</row>
    <row r="1003" ht="15.75" customHeight="1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</row>
    <row r="1004" ht="15.75" customHeight="1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</row>
    <row r="1005" ht="15.75" customHeight="1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</row>
    <row r="1006" ht="15.75" customHeight="1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</row>
    <row r="1007" ht="15.75" customHeight="1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</row>
    <row r="1008" ht="15.75" customHeight="1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</row>
    <row r="1009" ht="15.75" customHeight="1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