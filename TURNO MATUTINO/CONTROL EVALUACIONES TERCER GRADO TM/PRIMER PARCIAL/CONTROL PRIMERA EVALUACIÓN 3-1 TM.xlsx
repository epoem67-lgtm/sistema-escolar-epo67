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-1 ciencias de la comunicación" sheetId="1" r:id="rId5"/>
    <sheet state="visible" name="3-1 temas selectos de ingles ii" sheetId="2" r:id="rId6"/>
    <sheet state="visible" name="3-1 temas selectos de matematic" sheetId="3" r:id="rId7"/>
    <sheet state="visible" name="3-1 conciencia historica iii" sheetId="4" r:id="rId8"/>
    <sheet state="visible" name="3-1 organismos" sheetId="5" r:id="rId9"/>
    <sheet state="visible" name="3-1 temas selectos de filosofia" sheetId="6" r:id="rId10"/>
    <sheet state="visible" name="3-1 economia i" sheetId="7" r:id="rId11"/>
    <sheet state="visible" name="3-1 paginas web" sheetId="8" r:id="rId12"/>
    <sheet state="visible" name="3-1 diseño digital" sheetId="9" r:id="rId13"/>
    <sheet state="visible" name="3-1 actividades artisticas y cu" sheetId="10" r:id="rId14"/>
    <sheet state="visible" name="3-1 practica y colaboracion ciu" sheetId="11" r:id="rId15"/>
    <sheet state="visible" name="3-1 temas selectos de igualdad " sheetId="12" r:id="rId16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4">
    <font>
      <sz val="11.0"/>
      <color theme="1"/>
      <name val="Calibri"/>
      <scheme val="minor"/>
    </font>
    <font>
      <sz val="11.0"/>
      <color theme="1"/>
      <name val="Gotham Book"/>
    </font>
    <font>
      <b/>
      <sz val="14.0"/>
      <color theme="1"/>
      <name val="Arial"/>
    </font>
    <font/>
    <font>
      <b/>
      <sz val="11.0"/>
      <color theme="1"/>
      <name val="Gotham Book"/>
    </font>
    <font>
      <b/>
      <sz val="10.0"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b/>
      <sz val="10.0"/>
      <color rgb="FF000000"/>
      <name val="Arial"/>
    </font>
    <font>
      <b/>
      <sz val="10.0"/>
      <color theme="1"/>
      <name val="Gotham Book"/>
    </font>
    <font>
      <b/>
      <sz val="9.0"/>
      <color theme="1"/>
      <name val="Gotham Book"/>
    </font>
    <font>
      <sz val="11.0"/>
      <color theme="1"/>
      <name val="Calibri"/>
    </font>
    <font>
      <sz val="11.0"/>
      <color theme="1"/>
      <name val="&quot;Century Gothic&quot;"/>
    </font>
    <font>
      <sz val="11.0"/>
      <color theme="1"/>
      <name val="Arial"/>
    </font>
    <font>
      <b/>
      <sz val="12.0"/>
      <color theme="1"/>
      <name val="Gotham Book"/>
    </font>
    <font>
      <color theme="1"/>
      <name val="Calibri"/>
      <scheme val="minor"/>
    </font>
    <font>
      <sz val="10.0"/>
      <color theme="1"/>
      <name val="Arial"/>
    </font>
    <font>
      <sz val="12.0"/>
      <color theme="1"/>
      <name val="Gotham Book"/>
    </font>
    <font>
      <sz val="9.0"/>
      <color theme="1"/>
      <name val="Gotham Book"/>
    </font>
    <font>
      <sz val="9.0"/>
      <color theme="1"/>
      <name val="Arial"/>
    </font>
    <font>
      <sz val="10.0"/>
      <color theme="1"/>
      <name val="Gotham Book"/>
    </font>
    <font>
      <sz val="16.0"/>
      <color theme="1"/>
      <name val="Gotham Book"/>
    </font>
    <font>
      <sz val="11.0"/>
      <color theme="1"/>
      <name val="Gotham"/>
    </font>
    <font>
      <sz val="18.0"/>
      <color theme="1"/>
      <name val="Gotham Book"/>
    </font>
  </fonts>
  <fills count="5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6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1" numFmtId="0" xfId="0" applyAlignment="1" applyBorder="1" applyFont="1">
      <alignment vertical="center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0" fillId="0" fontId="1" numFmtId="0" xfId="0" applyAlignment="1" applyFont="1">
      <alignment vertical="center"/>
    </xf>
    <xf borderId="5" fillId="0" fontId="1" numFmtId="0" xfId="0" applyBorder="1" applyFont="1"/>
    <xf borderId="4" fillId="0" fontId="2" numFmtId="0" xfId="0" applyAlignment="1" applyBorder="1" applyFont="1">
      <alignment horizontal="center" readingOrder="0" shrinkToFit="0" vertical="center" wrapText="1"/>
    </xf>
    <xf borderId="5" fillId="0" fontId="3" numFmtId="0" xfId="0" applyBorder="1" applyFont="1"/>
    <xf borderId="0" fillId="0" fontId="4" numFmtId="0" xfId="0" applyAlignment="1" applyFont="1">
      <alignment horizontal="center" shrinkToFit="0" vertical="top" wrapText="1"/>
    </xf>
    <xf borderId="0" fillId="0" fontId="2" numFmtId="0" xfId="0" applyAlignment="1" applyFont="1">
      <alignment readingOrder="0" vertical="center"/>
    </xf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/>
    </xf>
    <xf borderId="0" fillId="0" fontId="4" numFmtId="0" xfId="0" applyAlignment="1" applyFont="1">
      <alignment vertical="center"/>
    </xf>
    <xf borderId="6" fillId="2" fontId="5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2" fontId="5" numFmtId="0" xfId="0" applyAlignment="1" applyBorder="1" applyFont="1">
      <alignment horizontal="center" vertical="center"/>
    </xf>
    <xf borderId="9" fillId="2" fontId="4" numFmtId="0" xfId="0" applyAlignment="1" applyBorder="1" applyFont="1">
      <alignment horizontal="center" vertical="center"/>
    </xf>
    <xf borderId="10" fillId="2" fontId="4" numFmtId="0" xfId="0" applyAlignment="1" applyBorder="1" applyFont="1">
      <alignment horizontal="center" shrinkToFit="0" vertical="center" wrapText="1"/>
    </xf>
    <xf borderId="11" fillId="2" fontId="4" numFmtId="9" xfId="0" applyAlignment="1" applyBorder="1" applyFont="1" applyNumberFormat="1">
      <alignment horizontal="center" vertical="center"/>
    </xf>
    <xf borderId="12" fillId="2" fontId="6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13" fillId="2" fontId="5" numFmtId="0" xfId="0" applyAlignment="1" applyBorder="1" applyFont="1">
      <alignment horizontal="center" readingOrder="0" shrinkToFit="0" vertical="center" wrapText="1"/>
    </xf>
    <xf borderId="14" fillId="2" fontId="5" numFmtId="0" xfId="0" applyAlignment="1" applyBorder="1" applyFont="1">
      <alignment horizontal="center" readingOrder="0" shrinkToFit="0" vertical="center" wrapText="1"/>
    </xf>
    <xf borderId="14" fillId="0" fontId="3" numFmtId="0" xfId="0" applyBorder="1" applyFont="1"/>
    <xf borderId="15" fillId="0" fontId="3" numFmtId="0" xfId="0" applyBorder="1" applyFont="1"/>
    <xf borderId="16" fillId="2" fontId="7" numFmtId="0" xfId="0" applyAlignment="1" applyBorder="1" applyFont="1">
      <alignment horizontal="center" readingOrder="0" shrinkToFit="0" vertical="center" wrapText="1"/>
    </xf>
    <xf borderId="16" fillId="2" fontId="7" numFmtId="0" xfId="0" applyAlignment="1" applyBorder="1" applyFont="1">
      <alignment readingOrder="0" vertical="center"/>
    </xf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22" fillId="2" fontId="8" numFmtId="0" xfId="0" applyAlignment="1" applyBorder="1" applyFont="1">
      <alignment horizontal="center" readingOrder="0" vertical="center"/>
    </xf>
    <xf borderId="23" fillId="2" fontId="5" numFmtId="0" xfId="0" applyAlignment="1" applyBorder="1" applyFont="1">
      <alignment horizontal="center" readingOrder="0" vertical="center"/>
    </xf>
    <xf borderId="15" fillId="2" fontId="5" numFmtId="0" xfId="0" applyAlignment="1" applyBorder="1" applyFont="1">
      <alignment horizontal="center" readingOrder="0" vertical="center"/>
    </xf>
    <xf borderId="24" fillId="0" fontId="3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vertical="center"/>
    </xf>
    <xf borderId="26" fillId="0" fontId="3" numFmtId="0" xfId="0" applyBorder="1" applyFont="1"/>
    <xf borderId="22" fillId="2" fontId="9" numFmtId="0" xfId="0" applyAlignment="1" applyBorder="1" applyFont="1">
      <alignment horizontal="center" vertical="center"/>
    </xf>
    <xf borderId="27" fillId="2" fontId="9" numFmtId="0" xfId="0" applyAlignment="1" applyBorder="1" applyFont="1">
      <alignment horizontal="center" vertical="center"/>
    </xf>
    <xf borderId="23" fillId="2" fontId="10" numFmtId="0" xfId="0" applyAlignment="1" applyBorder="1" applyFont="1">
      <alignment horizontal="center" shrinkToFit="0" vertical="bottom" wrapText="1"/>
    </xf>
    <xf borderId="23" fillId="2" fontId="11" numFmtId="0" xfId="0" applyAlignment="1" applyBorder="1" applyFont="1">
      <alignment vertical="bottom"/>
    </xf>
    <xf borderId="23" fillId="2" fontId="10" numFmtId="0" xfId="0" applyAlignment="1" applyBorder="1" applyFont="1">
      <alignment horizontal="center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3" fillId="2" fontId="4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3" fontId="12" numFmtId="1" xfId="0" applyAlignment="1" applyBorder="1" applyFill="1" applyFont="1" applyNumberFormat="1">
      <alignment readingOrder="0" shrinkToFit="0" vertical="bottom" wrapText="0"/>
    </xf>
    <xf borderId="23" fillId="3" fontId="12" numFmtId="0" xfId="0" applyAlignment="1" applyBorder="1" applyFont="1">
      <alignment readingOrder="0" shrinkToFit="0" vertical="bottom" wrapText="0"/>
    </xf>
    <xf borderId="23" fillId="0" fontId="13" numFmtId="164" xfId="0" applyAlignment="1" applyBorder="1" applyFont="1" applyNumberFormat="1">
      <alignment horizontal="center" readingOrder="0" vertical="center"/>
    </xf>
    <xf borderId="23" fillId="0" fontId="13" numFmtId="164" xfId="0" applyAlignment="1" applyBorder="1" applyFont="1" applyNumberFormat="1">
      <alignment horizontal="center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vertical="center"/>
    </xf>
    <xf borderId="23" fillId="0" fontId="14" numFmtId="1" xfId="0" applyAlignment="1" applyBorder="1" applyFont="1" applyNumberForma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3" fillId="0" fontId="13" numFmtId="0" xfId="0" applyAlignment="1" applyBorder="1" applyFont="1">
      <alignment horizontal="center" readingOrder="0" vertical="center"/>
    </xf>
    <xf borderId="19" fillId="3" fontId="12" numFmtId="1" xfId="0" applyAlignment="1" applyBorder="1" applyFont="1" applyNumberFormat="1">
      <alignment readingOrder="0" shrinkToFit="0" vertical="bottom" wrapText="0"/>
    </xf>
    <xf borderId="29" fillId="3" fontId="12" numFmtId="0" xfId="0" applyAlignment="1" applyBorder="1" applyFont="1">
      <alignment readingOrder="0" shrinkToFit="0" vertical="bottom" wrapText="0"/>
    </xf>
    <xf borderId="20" fillId="3" fontId="12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3" numFmtId="0" xfId="0" applyAlignment="1" applyFont="1">
      <alignment horizontal="center" readingOrder="0" vertical="center"/>
    </xf>
    <xf borderId="0" fillId="0" fontId="15" numFmtId="0" xfId="0" applyFont="1"/>
    <xf borderId="30" fillId="0" fontId="16" numFmtId="1" xfId="0" applyAlignment="1" applyBorder="1" applyFont="1" applyNumberFormat="1">
      <alignment horizontal="right" readingOrder="0" shrinkToFit="1" vertical="center" wrapText="0"/>
    </xf>
    <xf borderId="31" fillId="0" fontId="3" numFmtId="0" xfId="0" applyBorder="1" applyFont="1"/>
    <xf borderId="32" fillId="0" fontId="17" numFmtId="0" xfId="0" applyAlignment="1" applyBorder="1" applyFont="1">
      <alignment shrinkToFit="1" vertical="center" wrapText="0"/>
    </xf>
    <xf borderId="0" fillId="0" fontId="18" numFmtId="164" xfId="0" applyAlignment="1" applyFont="1" applyNumberFormat="1">
      <alignment horizontal="center" shrinkToFit="0" vertical="center" wrapText="1"/>
    </xf>
    <xf borderId="0" fillId="0" fontId="18" numFmtId="0" xfId="0" applyAlignment="1" applyFont="1">
      <alignment horizontal="center" shrinkToFit="0" vertical="center" wrapText="1"/>
    </xf>
    <xf borderId="0" fillId="0" fontId="19" numFmtId="1" xfId="0" applyAlignment="1" applyFont="1" applyNumberFormat="1">
      <alignment horizontal="center" shrinkToFit="0" vertical="center" wrapText="1"/>
    </xf>
    <xf borderId="5" fillId="0" fontId="18" numFmtId="0" xfId="0" applyAlignment="1" applyBorder="1" applyFont="1">
      <alignment horizontal="center" shrinkToFit="0" vertical="center" wrapText="1"/>
    </xf>
    <xf borderId="33" fillId="0" fontId="16" numFmtId="1" xfId="0" applyAlignment="1" applyBorder="1" applyFont="1" applyNumberFormat="1">
      <alignment horizontal="right" readingOrder="0" shrinkToFit="1" vertical="center" wrapText="0"/>
    </xf>
    <xf borderId="34" fillId="0" fontId="3" numFmtId="0" xfId="0" applyBorder="1" applyFont="1"/>
    <xf borderId="35" fillId="0" fontId="17" numFmtId="0" xfId="0" applyAlignment="1" applyBorder="1" applyFont="1">
      <alignment shrinkToFit="1" vertical="center" wrapText="0"/>
    </xf>
    <xf borderId="33" fillId="0" fontId="20" numFmtId="1" xfId="0" applyAlignment="1" applyBorder="1" applyFont="1" applyNumberFormat="1">
      <alignment horizontal="right" shrinkToFit="1" vertical="center" wrapText="0"/>
    </xf>
    <xf borderId="36" fillId="0" fontId="17" numFmtId="0" xfId="0" applyAlignment="1" applyBorder="1" applyFont="1">
      <alignment shrinkToFit="1" vertical="center" wrapText="0"/>
    </xf>
    <xf borderId="0" fillId="0" fontId="20" numFmtId="0" xfId="0" applyAlignment="1" applyFont="1">
      <alignment shrinkToFit="1" vertical="center" wrapText="0"/>
    </xf>
    <xf borderId="0" fillId="0" fontId="20" numFmtId="0" xfId="0" applyAlignment="1" applyFont="1">
      <alignment horizontal="center" vertical="center"/>
    </xf>
    <xf borderId="0" fillId="0" fontId="20" numFmtId="0" xfId="0" applyFont="1"/>
    <xf borderId="5" fillId="0" fontId="20" numFmtId="0" xfId="0" applyBorder="1" applyFont="1"/>
    <xf borderId="36" fillId="0" fontId="17" numFmtId="1" xfId="0" applyAlignment="1" applyBorder="1" applyFont="1" applyNumberFormat="1">
      <alignment shrinkToFit="1" vertical="center" wrapText="0"/>
    </xf>
    <xf borderId="20" fillId="0" fontId="20" numFmtId="0" xfId="0" applyAlignment="1" applyBorder="1" applyFont="1">
      <alignment shrinkToFit="1" vertical="center" wrapText="0"/>
    </xf>
    <xf borderId="20" fillId="0" fontId="20" numFmtId="0" xfId="0" applyBorder="1" applyFont="1"/>
    <xf borderId="21" fillId="0" fontId="20" numFmtId="0" xfId="0" applyBorder="1" applyFont="1"/>
    <xf borderId="36" fillId="0" fontId="17" numFmtId="2" xfId="0" applyAlignment="1" applyBorder="1" applyFont="1" applyNumberFormat="1">
      <alignment shrinkToFit="1" vertical="center" wrapText="0"/>
    </xf>
    <xf borderId="37" fillId="0" fontId="5" numFmtId="164" xfId="0" applyAlignment="1" applyBorder="1" applyFont="1" applyNumberFormat="1">
      <alignment horizontal="center" readingOrder="0" shrinkToFit="0" vertical="top" wrapText="1"/>
    </xf>
    <xf borderId="0" fillId="0" fontId="20" numFmtId="0" xfId="0" applyAlignment="1" applyFont="1">
      <alignment horizontal="center" vertical="top"/>
    </xf>
    <xf borderId="0" fillId="0" fontId="5" numFmtId="164" xfId="0" applyAlignment="1" applyFont="1" applyNumberFormat="1">
      <alignment horizontal="center" readingOrder="0" shrinkToFit="0" vertical="top" wrapText="1"/>
    </xf>
    <xf borderId="0" fillId="0" fontId="7" numFmtId="1" xfId="0" applyAlignment="1" applyFont="1" applyNumberFormat="1">
      <alignment horizontal="center" readingOrder="0" shrinkToFit="0" vertical="top" wrapText="1"/>
    </xf>
    <xf borderId="5" fillId="0" fontId="7" numFmtId="0" xfId="0" applyAlignment="1" applyBorder="1" applyFont="1">
      <alignment horizontal="center" readingOrder="0" shrinkToFit="0" vertical="top" wrapText="1"/>
    </xf>
    <xf borderId="0" fillId="0" fontId="18" numFmtId="0" xfId="0" applyFont="1"/>
    <xf borderId="38" fillId="0" fontId="16" numFmtId="1" xfId="0" applyAlignment="1" applyBorder="1" applyFont="1" applyNumberFormat="1">
      <alignment horizontal="right" readingOrder="0" shrinkToFit="1" vertical="center" wrapText="0"/>
    </xf>
    <xf borderId="39" fillId="0" fontId="3" numFmtId="0" xfId="0" applyBorder="1" applyFont="1"/>
    <xf borderId="40" fillId="0" fontId="14" numFmtId="2" xfId="0" applyAlignment="1" applyBorder="1" applyFont="1" applyNumberFormat="1">
      <alignment vertical="center"/>
    </xf>
    <xf borderId="41" fillId="4" fontId="1" numFmtId="0" xfId="0" applyAlignment="1" applyBorder="1" applyFill="1" applyFont="1">
      <alignment vertical="center"/>
    </xf>
    <xf borderId="42" fillId="4" fontId="1" numFmtId="0" xfId="0" applyAlignment="1" applyBorder="1" applyFont="1">
      <alignment vertical="center"/>
    </xf>
    <xf borderId="0" fillId="4" fontId="1" numFmtId="0" xfId="0" applyAlignment="1" applyFont="1">
      <alignment vertical="center"/>
    </xf>
    <xf borderId="5" fillId="0" fontId="1" numFmtId="0" xfId="0" applyAlignment="1" applyBorder="1" applyFont="1">
      <alignment vertical="center"/>
    </xf>
    <xf borderId="0" fillId="0" fontId="21" numFmtId="0" xfId="0" applyAlignment="1" applyFont="1">
      <alignment vertical="center"/>
    </xf>
    <xf borderId="4" fillId="0" fontId="1" numFmtId="0" xfId="0" applyAlignment="1" applyBorder="1" applyFont="1">
      <alignment horizontal="center" vertical="center"/>
    </xf>
    <xf borderId="0" fillId="0" fontId="22" numFmtId="0" xfId="0" applyFont="1"/>
    <xf borderId="43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horizontal="center" vertical="center"/>
    </xf>
    <xf borderId="44" fillId="0" fontId="1" numFmtId="0" xfId="0" applyAlignment="1" applyBorder="1" applyFont="1">
      <alignment vertical="center"/>
    </xf>
    <xf borderId="44" fillId="0" fontId="1" numFmtId="0" xfId="0" applyBorder="1" applyFont="1"/>
    <xf borderId="45" fillId="0" fontId="1" numFmtId="0" xfId="0" applyBorder="1" applyFont="1"/>
    <xf borderId="0" fillId="0" fontId="23" numFmtId="0" xfId="0" applyAlignment="1" applyFont="1">
      <alignment shrinkToFit="0" vertical="center" wrapText="1"/>
    </xf>
    <xf borderId="0" fillId="0" fontId="1" numFmtId="0" xfId="0" applyAlignment="1" applyFont="1">
      <alignment shrinkToFit="0" vertical="top" wrapText="1"/>
    </xf>
    <xf borderId="0" fillId="0" fontId="1" numFmtId="1" xfId="0" applyFont="1" applyNumberFormat="1"/>
    <xf borderId="20" fillId="0" fontId="20" numFmtId="164" xfId="0" applyAlignment="1" applyBorder="1" applyFont="1" applyNumberFormat="1">
      <alignment shrinkToFit="1" vertical="center" wrapText="0"/>
    </xf>
    <xf borderId="0" fillId="0" fontId="1" numFmtId="164" xfId="0" applyAlignment="1" applyFont="1" applyNumberFormat="1">
      <alignment horizontal="center" vertical="center"/>
    </xf>
    <xf borderId="37" fillId="0" fontId="5" numFmtId="0" xfId="0" applyAlignment="1" applyBorder="1" applyFont="1">
      <alignment horizontal="center" readingOrder="0" shrinkToFit="0" vertical="top" wrapText="1"/>
    </xf>
    <xf borderId="0" fillId="0" fontId="11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400050</xdr:colOff>
      <xdr:row>71</xdr:row>
      <xdr:rowOff>57150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542925</xdr:colOff>
      <xdr:row>69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133350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71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 11,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69</xdr:row>
      <xdr:rowOff>114300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428625</xdr:colOff>
      <xdr:row>71</xdr:row>
      <xdr:rowOff>47625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152400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561975</xdr:colOff>
      <xdr:row>1</xdr:row>
      <xdr:rowOff>190500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70</xdr:row>
      <xdr:rowOff>171450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69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542925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409575</xdr:colOff>
      <xdr:row>71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69</xdr:row>
      <xdr:rowOff>133350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523875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419100</xdr:colOff>
      <xdr:row>71</xdr:row>
      <xdr:rowOff>85725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70</xdr:row>
      <xdr:rowOff>19050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390525</xdr:colOff>
      <xdr:row>71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581025</xdr:colOff>
      <xdr:row>1</xdr:row>
      <xdr:rowOff>152400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438150</xdr:colOff>
      <xdr:row>71</xdr:row>
      <xdr:rowOff>9525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69</xdr:row>
      <xdr:rowOff>161925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457200</xdr:colOff>
      <xdr:row>71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552450</xdr:colOff>
      <xdr:row>1</xdr:row>
      <xdr:rowOff>171450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381000</xdr:colOff>
      <xdr:row>71</xdr:row>
      <xdr:rowOff>66675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69</xdr:row>
      <xdr:rowOff>171450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1</xdr:col>
      <xdr:colOff>1762125</xdr:colOff>
      <xdr:row>71</xdr:row>
      <xdr:rowOff>19050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123825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533400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71</xdr:row>
      <xdr:rowOff>38100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69</xdr:row>
      <xdr:rowOff>142875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5" width="10.71"/>
  </cols>
  <sheetData>
    <row r="1" ht="13.5" customHeight="1">
      <c r="A1" s="1" t="str">
        <f>IFERROR(__xludf.DUMMYFUNCTION("IMPORTRANGE(""https://docs.google.com/spreadsheets/d/1HyJQPE8UhSXt6kBHpJleJL1wdX-2zqVRG3865i1SYkA/edit?gid=868681460#gid=868681460"",""3-1 ciencias de la comunicación 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MELENDEZ ABAD")</f>
        <v>CLAUDIA MELENDEZ ABAD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IFERROR(__xludf.DUMMYFUNCTION("""COMPUTED_VALUE"""),"CIENCIAS DE LA COMUNICACIÓN I")</f>
        <v>CIENCIAS DE LA COMUNICACIÓN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IFERROR(__xludf.DUMMYFUNCTION("""COMPUTED_VALUE"""),1.0)</f>
        <v>1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/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IFERROR(__xludf.DUMMYFUNCTION("""COMPUTED_VALUE"""),0.0)</f>
        <v>0</v>
      </c>
      <c r="F19" s="54">
        <f>IFERROR(__xludf.DUMMYFUNCTION("""COMPUTED_VALUE"""),2.0)</f>
        <v>2</v>
      </c>
      <c r="G19" s="55"/>
      <c r="H19" s="56">
        <f>IFERROR(__xludf.DUMMYFUNCTION("""COMPUTED_VALUE"""),2.0)</f>
        <v>2</v>
      </c>
      <c r="I19" s="57">
        <f>IFERROR(__xludf.DUMMYFUNCTION("""COMPUTED_VALUE"""),0.0)</f>
        <v>0</v>
      </c>
      <c r="J19" s="58">
        <f>IFERROR(__xludf.DUMMYFUNCTION("""COMPUTED_VALUE"""),5.0)</f>
        <v>5</v>
      </c>
      <c r="K19" s="51"/>
      <c r="L19" s="60">
        <f>IFERROR(__xludf.DUMMYFUNCTION("""COMPUTED_VALUE"""),2.0)</f>
        <v>2</v>
      </c>
      <c r="M19" s="1" t="str">
        <f>IFERROR(__xludf.DUMMYFUNCTION("""COMPUTED_VALUE"""),"Marzo")</f>
        <v>Marzo</v>
      </c>
      <c r="N19" s="1">
        <f>IFERROR(__xludf.DUMMYFUNCTION("""COMPUTED_VALUE"""),10.0)</f>
        <v>10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/>
      <c r="H20" s="56">
        <f>IFERROR(__xludf.DUMMYFUNCTION("""COMPUTED_VALUE"""),10.0)</f>
        <v>10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IFERROR(__xludf.DUMMYFUNCTION("""COMPUTED_VALUE"""),8.0)</f>
        <v>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IFERROR(__xludf.DUMMYFUNCTION("""COMPUTED_VALUE"""),0.0)</f>
        <v>0</v>
      </c>
      <c r="F21" s="54">
        <f>IFERROR(__xludf.DUMMYFUNCTION("""COMPUTED_VALUE"""),0.0)</f>
        <v>0</v>
      </c>
      <c r="G21" s="55"/>
      <c r="H21" s="56">
        <f>IFERROR(__xludf.DUMMYFUNCTION("""COMPUTED_VALUE"""),0.0)</f>
        <v>0</v>
      </c>
      <c r="I21" s="57">
        <f>IFERROR(__xludf.DUMMYFUNCTION("""COMPUTED_VALUE"""),0.0)</f>
        <v>0</v>
      </c>
      <c r="J21" s="58">
        <f>IFERROR(__xludf.DUMMYFUNCTION("""COMPUTED_VALUE"""),5.0)</f>
        <v>5</v>
      </c>
      <c r="K21" s="51"/>
      <c r="L21" s="60">
        <f>IFERROR(__xludf.DUMMYFUNCTION("""COMPUTED_VALUE"""),0.0)</f>
        <v>0</v>
      </c>
      <c r="M21" s="1" t="str">
        <f>IFERROR(__xludf.DUMMYFUNCTION("""COMPUTED_VALUE"""),"Mayo")</f>
        <v>Mayo</v>
      </c>
      <c r="N21" s="1">
        <f>IFERROR(__xludf.DUMMYFUNCTION("""COMPUTED_VALUE"""),9.0)</f>
        <v>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IFERROR(__xludf.DUMMYFUNCTION("""COMPUTED_VALUE"""),3.2)</f>
        <v>3.2</v>
      </c>
      <c r="F22" s="54">
        <f>IFERROR(__xludf.DUMMYFUNCTION("""COMPUTED_VALUE"""),2.0)</f>
        <v>2</v>
      </c>
      <c r="G22" s="55"/>
      <c r="H22" s="56">
        <f>IFERROR(__xludf.DUMMYFUNCTION("""COMPUTED_VALUE"""),5.2)</f>
        <v>5.2</v>
      </c>
      <c r="I22" s="57">
        <f>IFERROR(__xludf.DUMMYFUNCTION("""COMPUTED_VALUE"""),0.0)</f>
        <v>0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IFERROR(__xludf.DUMMYFUNCTION("""COMPUTED_VALUE"""),8.0)</f>
        <v>8</v>
      </c>
      <c r="F23" s="54">
        <f>IFERROR(__xludf.DUMMYFUNCTION("""COMPUTED_VALUE"""),2.0)</f>
        <v>2</v>
      </c>
      <c r="G23" s="55"/>
      <c r="H23" s="56">
        <f>IFERROR(__xludf.DUMMYFUNCTION("""COMPUTED_VALUE"""),10.0)</f>
        <v>10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/>
      <c r="H24" s="56">
        <f>IFERROR(__xludf.DUMMYFUNCTION("""COMPUTED_VALUE"""),10.0)</f>
        <v>10</v>
      </c>
      <c r="I24" s="57">
        <f>IFERROR(__xludf.DUMMYFUNCTION("""COMPUTED_VALUE"""),0.0)</f>
        <v>0</v>
      </c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IFERROR(__xludf.DUMMYFUNCTION("""COMPUTED_VALUE"""),52.0)</f>
        <v>52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/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/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IFERROR(__xludf.DUMMYFUNCTION("""COMPUTED_VALUE"""),8.0)</f>
        <v>8</v>
      </c>
      <c r="F30" s="54">
        <f>IFERROR(__xludf.DUMMYFUNCTION("""COMPUTED_VALUE"""),2.0)</f>
        <v>2</v>
      </c>
      <c r="G30" s="55"/>
      <c r="H30" s="56">
        <f>IFERROR(__xludf.DUMMYFUNCTION("""COMPUTED_VALUE"""),10.0)</f>
        <v>10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IFERROR(__xludf.DUMMYFUNCTION("""COMPUTED_VALUE"""),5.0)</f>
        <v>5</v>
      </c>
      <c r="F31" s="54">
        <f>IFERROR(__xludf.DUMMYFUNCTION("""COMPUTED_VALUE"""),2.0)</f>
        <v>2</v>
      </c>
      <c r="G31" s="55"/>
      <c r="H31" s="56">
        <f>IFERROR(__xludf.DUMMYFUNCTION("""COMPUTED_VALUE"""),7.0)</f>
        <v>7</v>
      </c>
      <c r="I31" s="57">
        <f>IFERROR(__xludf.DUMMYFUNCTION("""COMPUTED_VALUE"""),1.0)</f>
        <v>1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/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IFERROR(__xludf.DUMMYFUNCTION("""COMPUTED_VALUE"""),8.0)</f>
        <v>8</v>
      </c>
      <c r="F35" s="54">
        <f>IFERROR(__xludf.DUMMYFUNCTION("""COMPUTED_VALUE"""),2.0)</f>
        <v>2</v>
      </c>
      <c r="G35" s="55"/>
      <c r="H35" s="56">
        <f>IFERROR(__xludf.DUMMYFUNCTION("""COMPUTED_VALUE"""),10.0)</f>
        <v>10</v>
      </c>
      <c r="I35" s="57">
        <f>IFERROR(__xludf.DUMMYFUNCTION("""COMPUTED_VALUE"""),0.0)</f>
        <v>0</v>
      </c>
      <c r="J35" s="58">
        <f>IFERROR(__xludf.DUMMYFUNCTION("""COMPUTED_VALUE"""),10.0)</f>
        <v>10</v>
      </c>
      <c r="K35" s="51"/>
      <c r="L35" s="60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>
        <f>IFERROR(__xludf.DUMMYFUNCTION("""COMPUTED_VALUE"""),0.0)</f>
        <v>0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IFERROR(__xludf.DUMMYFUNCTION("""COMPUTED_VALUE"""),8.0)</f>
        <v>8</v>
      </c>
      <c r="F37" s="54">
        <f>IFERROR(__xludf.DUMMYFUNCTION("""COMPUTED_VALUE"""),2.0)</f>
        <v>2</v>
      </c>
      <c r="G37" s="55"/>
      <c r="H37" s="56">
        <f>IFERROR(__xludf.DUMMYFUNCTION("""COMPUTED_VALUE"""),10.0)</f>
        <v>10</v>
      </c>
      <c r="I37" s="57">
        <f>IFERROR(__xludf.DUMMYFUNCTION("""COMPUTED_VALUE"""),0.0)</f>
        <v>0</v>
      </c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IFERROR(__xludf.DUMMYFUNCTION("""COMPUTED_VALUE"""),4.0)</f>
        <v>4</v>
      </c>
      <c r="F41" s="54">
        <f>IFERROR(__xludf.DUMMYFUNCTION("""COMPUTED_VALUE"""),2.0)</f>
        <v>2</v>
      </c>
      <c r="G41" s="55"/>
      <c r="H41" s="56">
        <f>IFERROR(__xludf.DUMMYFUNCTION("""COMPUTED_VALUE"""),6.0)</f>
        <v>6</v>
      </c>
      <c r="I41" s="57">
        <f>IFERROR(__xludf.DUMMYFUNCTION("""COMPUTED_VALUE"""),0.0)</f>
        <v>0</v>
      </c>
      <c r="J41" s="58">
        <f>IFERROR(__xludf.DUMMYFUNCTION("""COMPUTED_VALUE"""),6.0)</f>
        <v>6</v>
      </c>
      <c r="K41" s="51"/>
      <c r="L41" s="60">
        <f>IFERROR(__xludf.DUMMYFUNCTION("""COMPUTED_VALUE"""),6.0)</f>
        <v>6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IFERROR(__xludf.DUMMYFUNCTION("""COMPUTED_VALUE"""),8.0)</f>
        <v>8</v>
      </c>
      <c r="F42" s="54">
        <f>IFERROR(__xludf.DUMMYFUNCTION("""COMPUTED_VALUE"""),2.0)</f>
        <v>2</v>
      </c>
      <c r="G42" s="55"/>
      <c r="H42" s="56">
        <f>IFERROR(__xludf.DUMMYFUNCTION("""COMPUTED_VALUE"""),10.0)</f>
        <v>10</v>
      </c>
      <c r="I42" s="57">
        <f>IFERROR(__xludf.DUMMYFUNCTION("""COMPUTED_VALUE"""),0.0)</f>
        <v>0</v>
      </c>
      <c r="J42" s="58">
        <f>IFERROR(__xludf.DUMMYFUNCTION("""COMPUTED_VALUE"""),10.0)</f>
        <v>10</v>
      </c>
      <c r="K42" s="51"/>
      <c r="L42" s="60">
        <f>IFERROR(__xludf.DUMMYFUNCTION("""COMPUTED_VALUE"""),10.0)</f>
        <v>10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IFERROR(__xludf.DUMMYFUNCTION("""COMPUTED_VALUE"""),4.0)</f>
        <v>4</v>
      </c>
      <c r="F43" s="54">
        <f>IFERROR(__xludf.DUMMYFUNCTION("""COMPUTED_VALUE"""),2.0)</f>
        <v>2</v>
      </c>
      <c r="G43" s="55"/>
      <c r="H43" s="56">
        <f>IFERROR(__xludf.DUMMYFUNCTION("""COMPUTED_VALUE"""),6.0)</f>
        <v>6</v>
      </c>
      <c r="I43" s="57">
        <f>IFERROR(__xludf.DUMMYFUNCTION("""COMPUTED_VALUE"""),0.0)</f>
        <v>0</v>
      </c>
      <c r="J43" s="58">
        <f>IFERROR(__xludf.DUMMYFUNCTION("""COMPUTED_VALUE"""),6.0)</f>
        <v>6</v>
      </c>
      <c r="K43" s="51"/>
      <c r="L43" s="60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IFERROR(__xludf.DUMMYFUNCTION("""COMPUTED_VALUE"""),8.0)</f>
        <v>8</v>
      </c>
      <c r="F44" s="54">
        <f>IFERROR(__xludf.DUMMYFUNCTION("""COMPUTED_VALUE"""),2.0)</f>
        <v>2</v>
      </c>
      <c r="G44" s="55"/>
      <c r="H44" s="56">
        <f>IFERROR(__xludf.DUMMYFUNCTION("""COMPUTED_VALUE"""),10.0)</f>
        <v>10</v>
      </c>
      <c r="I44" s="57">
        <f>IFERROR(__xludf.DUMMYFUNCTION("""COMPUTED_VALUE"""),0.0)</f>
        <v>0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IFERROR(__xludf.DUMMYFUNCTION("""COMPUTED_VALUE"""),8.0)</f>
        <v>8</v>
      </c>
      <c r="F46" s="54">
        <f>IFERROR(__xludf.DUMMYFUNCTION("""COMPUTED_VALUE"""),2.0)</f>
        <v>2</v>
      </c>
      <c r="G46" s="55"/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/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IFERROR(__xludf.DUMMYFUNCTION("""COMPUTED_VALUE"""),0.0)</f>
        <v>0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IFERROR(__xludf.DUMMYFUNCTION("""COMPUTED_VALUE"""),1.0)</f>
        <v>1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/>
      <c r="H50" s="56">
        <f>IFERROR(__xludf.DUMMYFUNCTION("""COMPUTED_VALUE"""),10.0)</f>
        <v>10</v>
      </c>
      <c r="I50" s="57">
        <f>IFERROR(__xludf.DUMMYFUNCTION("""COMPUTED_VALUE"""),0.0)</f>
        <v>0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/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/>
      <c r="H54" s="56">
        <f>IFERROR(__xludf.DUMMYFUNCTION("""COMPUTED_VALUE"""),10.0)</f>
        <v>10</v>
      </c>
      <c r="I54" s="57">
        <f>IFERROR(__xludf.DUMMYFUNCTION("""COMPUTED_VALUE"""),0.0)</f>
        <v>0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IFERROR(__xludf.DUMMYFUNCTION("""COMPUTED_VALUE"""),8.0)</f>
        <v>8</v>
      </c>
      <c r="F55" s="54">
        <f>IFERROR(__xludf.DUMMYFUNCTION("""COMPUTED_VALUE"""),2.0)</f>
        <v>2</v>
      </c>
      <c r="G55" s="55"/>
      <c r="H55" s="56">
        <f>IFERROR(__xludf.DUMMYFUNCTION("""COMPUTED_VALUE"""),10.0)</f>
        <v>10</v>
      </c>
      <c r="I55" s="61">
        <f>IFERROR(__xludf.DUMMYFUNCTION("""COMPUTED_VALUE"""),0.0)</f>
        <v>0</v>
      </c>
      <c r="J55" s="58">
        <f>IFERROR(__xludf.DUMMYFUNCTION("""COMPUTED_VALUE"""),10.0)</f>
        <v>10</v>
      </c>
      <c r="K55" s="51"/>
      <c r="L55" s="59">
        <f>IFERROR(__xludf.DUMMYFUNCTION("""COMPUTED_VALUE"""),10.0)</f>
        <v>10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/>
      <c r="H56" s="56">
        <f>IFERROR(__xludf.DUMMYFUNCTION("""COMPUTED_VALUE"""),10.0)</f>
        <v>10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IFERROR(__xludf.DUMMYFUNCTION("""COMPUTED_VALUE"""),3.2)</f>
        <v>3.2</v>
      </c>
      <c r="F57" s="54">
        <f>IFERROR(__xludf.DUMMYFUNCTION("""COMPUTED_VALUE"""),0.0)</f>
        <v>0</v>
      </c>
      <c r="G57" s="55"/>
      <c r="H57" s="56">
        <f>IFERROR(__xludf.DUMMYFUNCTION("""COMPUTED_VALUE"""),3.2)</f>
        <v>3.2</v>
      </c>
      <c r="I57" s="61">
        <f>IFERROR(__xludf.DUMMYFUNCTION("""COMPUTED_VALUE"""),0.0)</f>
        <v>0</v>
      </c>
      <c r="J57" s="58">
        <f>IFERROR(__xludf.DUMMYFUNCTION("""COMPUTED_VALUE"""),5.0)</f>
        <v>5</v>
      </c>
      <c r="K57" s="51"/>
      <c r="L57" s="59">
        <f>IFERROR(__xludf.DUMMYFUNCTION("""COMPUTED_VALUE"""),3.0)</f>
        <v>3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/>
      <c r="H58" s="56">
        <f>IFERROR(__xludf.DUMMYFUNCTION("""COMPUTED_VALUE"""),10.0)</f>
        <v>10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IFERROR(__xludf.DUMMYFUNCTION("""COMPUTED_VALUE"""),8.0)</f>
        <v>8</v>
      </c>
      <c r="F59" s="54">
        <f>IFERROR(__xludf.DUMMYFUNCTION("""COMPUTED_VALUE"""),2.0)</f>
        <v>2</v>
      </c>
      <c r="G59" s="55"/>
      <c r="H59" s="56">
        <f>IFERROR(__xludf.DUMMYFUNCTION("""COMPUTED_VALUE"""),10.0)</f>
        <v>10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/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IFERROR(__xludf.DUMMYFUNCTION("""COMPUTED_VALUE"""),41.0)</f>
        <v>41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IFERROR(__xludf.DUMMYFUNCTION("""COMPUTED_VALUE"""),4.0)</f>
        <v>4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IFERROR(__xludf.DUMMYFUNCTION("""COMPUTED_VALUE"""),91.11111111111111)</f>
        <v>91.11111111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IFERROR(__xludf.DUMMYFUNCTION("""COMPUTED_VALUE"""),9.311111111111112)</f>
        <v>9.311111111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1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"/>
  <pageSetup scale="42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IFERROR(__xludf.DUMMYFUNCTION("IMPORTRANGE(""https://docs.google.com/spreadsheets/d/1XEO5qOc1ULli8OYh8L9dVyXgf9n3IMd1IofEfRLvAEk/edit?gid=868681460#gid=868681460"",""3-1 temas selectos de ingles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IFERROR(__xludf.DUMMYFUNCTION("""COMPUTED_VALUE"""),"Jéssica N. Alcántara Colín")</f>
        <v>Jéssica N. Alcántara Colín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INGLÉS II")</f>
        <v>TEMAS SELECTOS DE INGLÉS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IFERROR(__xludf.DUMMYFUNCTION("""COMPUTED_VALUE"""),6.4)</f>
        <v>6.4</v>
      </c>
      <c r="F17" s="54">
        <f>IFERROR(__xludf.DUMMYFUNCTION("""COMPUTED_VALUE"""),1.8)</f>
        <v>1.8</v>
      </c>
      <c r="G17" s="55"/>
      <c r="H17" s="56">
        <f>IFERROR(__xludf.DUMMYFUNCTION("""COMPUTED_VALUE"""),8.200000000000001)</f>
        <v>8.2</v>
      </c>
      <c r="I17" s="57">
        <f>IFERROR(__xludf.DUMMYFUNCTION("""COMPUTED_VALUE"""),1.0)</f>
        <v>1</v>
      </c>
      <c r="J17" s="58">
        <f>IFERROR(__xludf.DUMMYFUNCTION("""COMPUTED_VALUE"""),8.0)</f>
        <v>8</v>
      </c>
      <c r="K17" s="59"/>
      <c r="L17" s="60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IFERROR(__xludf.DUMMYFUNCTION("""COMPUTED_VALUE"""),6.4)</f>
        <v>6.4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IFERROR(__xludf.DUMMYFUNCTION("""COMPUTED_VALUE"""),9.4)</f>
        <v>9.4</v>
      </c>
      <c r="I18" s="57">
        <f>IFERROR(__xludf.DUMMYFUNCTION("""COMPUTED_VALUE"""),1.0)</f>
        <v>1</v>
      </c>
      <c r="J18" s="58">
        <f>IFERROR(__xludf.DUMMYFUNCTION("""COMPUTED_VALUE"""),9.0)</f>
        <v>9</v>
      </c>
      <c r="K18" s="51"/>
      <c r="L18" s="60">
        <f>IFERROR(__xludf.DUMMYFUNCTION("""COMPUTED_VALUE"""),9.0)</f>
        <v>9</v>
      </c>
      <c r="M18" s="1" t="str">
        <f>IFERROR(__xludf.DUMMYFUNCTION("""COMPUTED_VALUE"""),"Febrero")</f>
        <v>Febrero</v>
      </c>
      <c r="N18" s="1">
        <f>IFERROR(__xludf.DUMMYFUNCTION("""COMPUTED_VALUE"""),12.0)</f>
        <v>12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IFERROR(__xludf.DUMMYFUNCTION("""COMPUTED_VALUE"""),7.5)</f>
        <v>7.5</v>
      </c>
      <c r="F19" s="54">
        <f>IFERROR(__xludf.DUMMYFUNCTION("""COMPUTED_VALUE"""),1.2)</f>
        <v>1.2</v>
      </c>
      <c r="G19" s="55"/>
      <c r="H19" s="56">
        <f>IFERROR(__xludf.DUMMYFUNCTION("""COMPUTED_VALUE"""),8.7)</f>
        <v>8.7</v>
      </c>
      <c r="I19" s="57">
        <f>IFERROR(__xludf.DUMMYFUNCTION("""COMPUTED_VALUE"""),1.0)</f>
        <v>1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IFERROR(__xludf.DUMMYFUNCTION("""COMPUTED_VALUE"""),11.0)</f>
        <v>11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IFERROR(__xludf.DUMMYFUNCTION("""COMPUTED_VALUE"""),11.0)</f>
        <v>11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IFERROR(__xludf.DUMMYFUNCTION("""COMPUTED_VALUE"""),3.8)</f>
        <v>3.8</v>
      </c>
      <c r="F21" s="54">
        <f>IFERROR(__xludf.DUMMYFUNCTION("""COMPUTED_VALUE"""),1.8)</f>
        <v>1.8</v>
      </c>
      <c r="G21" s="55">
        <f>IFERROR(__xludf.DUMMYFUNCTION("""COMPUTED_VALUE"""),1.0)</f>
        <v>1</v>
      </c>
      <c r="H21" s="56">
        <f>IFERROR(__xludf.DUMMYFUNCTION("""COMPUTED_VALUE"""),6.6)</f>
        <v>6.6</v>
      </c>
      <c r="I21" s="57"/>
      <c r="J21" s="58">
        <f>IFERROR(__xludf.DUMMYFUNCTION("""COMPUTED_VALUE"""),7.0)</f>
        <v>7</v>
      </c>
      <c r="K21" s="51"/>
      <c r="L21" s="60">
        <f>IFERROR(__xludf.DUMMYFUNCTION("""COMPUTED_VALUE"""),7.0)</f>
        <v>7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IFERROR(__xludf.DUMMYFUNCTION("""COMPUTED_VALUE"""),8.0)</f>
        <v>8</v>
      </c>
      <c r="F22" s="54">
        <f>IFERROR(__xludf.DUMMYFUNCTION("""COMPUTED_VALUE"""),1.5)</f>
        <v>1.5</v>
      </c>
      <c r="G22" s="55"/>
      <c r="H22" s="56">
        <f>IFERROR(__xludf.DUMMYFUNCTION("""COMPUTED_VALUE"""),9.5)</f>
        <v>9.5</v>
      </c>
      <c r="I22" s="57">
        <f>IFERROR(__xludf.DUMMYFUNCTION("""COMPUTED_VALUE"""),1.0)</f>
        <v>1</v>
      </c>
      <c r="J22" s="58">
        <f>IFERROR(__xludf.DUMMYFUNCTION("""COMPUTED_VALUE"""),10.0)</f>
        <v>10</v>
      </c>
      <c r="K22" s="51"/>
      <c r="L22" s="60">
        <f>IFERROR(__xludf.DUMMYFUNCTION("""COMPUTED_VALUE"""),10.0)</f>
        <v>10</v>
      </c>
      <c r="M22" s="1" t="str">
        <f>IFERROR(__xludf.DUMMYFUNCTION("""COMPUTED_VALUE"""),"Junio")</f>
        <v>Junio</v>
      </c>
      <c r="N22" s="1">
        <f>IFERROR(__xludf.DUMMYFUNCTION("""COMPUTED_VALUE"""),14.0)</f>
        <v>14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IFERROR(__xludf.DUMMYFUNCTION("""COMPUTED_VALUE"""),7.2)</f>
        <v>7.2</v>
      </c>
      <c r="F23" s="54">
        <f>IFERROR(__xludf.DUMMYFUNCTION("""COMPUTED_VALUE"""),1.6)</f>
        <v>1.6</v>
      </c>
      <c r="G23" s="55"/>
      <c r="H23" s="56">
        <f>IFERROR(__xludf.DUMMYFUNCTION("""COMPUTED_VALUE"""),8.8)</f>
        <v>8.8</v>
      </c>
      <c r="I23" s="57"/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IFERROR(__xludf.DUMMYFUNCTION("""COMPUTED_VALUE"""),5.2)</f>
        <v>5.2</v>
      </c>
      <c r="F24" s="54">
        <f>IFERROR(__xludf.DUMMYFUNCTION("""COMPUTED_VALUE"""),1.8)</f>
        <v>1.8</v>
      </c>
      <c r="G24" s="55"/>
      <c r="H24" s="56">
        <f>IFERROR(__xludf.DUMMYFUNCTION("""COMPUTED_VALUE"""),7.0)</f>
        <v>7</v>
      </c>
      <c r="I24" s="57"/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IFERROR(__xludf.DUMMYFUNCTION("""COMPUTED_VALUE"""),65.0)</f>
        <v>65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IFERROR(__xludf.DUMMYFUNCTION("""COMPUTED_VALUE"""),6.0)</f>
        <v>6</v>
      </c>
      <c r="F25" s="54">
        <f>IFERROR(__xludf.DUMMYFUNCTION("""COMPUTED_VALUE"""),1.8)</f>
        <v>1.8</v>
      </c>
      <c r="G25" s="55"/>
      <c r="H25" s="56">
        <f>IFERROR(__xludf.DUMMYFUNCTION("""COMPUTED_VALUE"""),7.8)</f>
        <v>7.8</v>
      </c>
      <c r="I25" s="57">
        <f>IFERROR(__xludf.DUMMYFUNCTION("""COMPUTED_VALUE"""),1.0)</f>
        <v>1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/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IFERROR(__xludf.DUMMYFUNCTION("""COMPUTED_VALUE"""),7.0)</f>
        <v>7</v>
      </c>
      <c r="F27" s="54">
        <f>IFERROR(__xludf.DUMMYFUNCTION("""COMPUTED_VALUE"""),2.0)</f>
        <v>2</v>
      </c>
      <c r="G27" s="55"/>
      <c r="H27" s="56">
        <f>IFERROR(__xludf.DUMMYFUNCTION("""COMPUTED_VALUE"""),9.0)</f>
        <v>9</v>
      </c>
      <c r="I27" s="57"/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IFERROR(__xludf.DUMMYFUNCTION("""COMPUTED_VALUE"""),7.6)</f>
        <v>7.6</v>
      </c>
      <c r="F28" s="54">
        <f>IFERROR(__xludf.DUMMYFUNCTION("""COMPUTED_VALUE"""),1.8)</f>
        <v>1.8</v>
      </c>
      <c r="G28" s="55"/>
      <c r="H28" s="56">
        <f>IFERROR(__xludf.DUMMYFUNCTION("""COMPUTED_VALUE"""),9.4)</f>
        <v>9.4</v>
      </c>
      <c r="I28" s="57"/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IFERROR(__xludf.DUMMYFUNCTION("""COMPUTED_VALUE"""),1.8)</f>
        <v>1.8</v>
      </c>
      <c r="G29" s="55">
        <f>IFERROR(__xludf.DUMMYFUNCTION("""COMPUTED_VALUE"""),1.0)</f>
        <v>1</v>
      </c>
      <c r="H29" s="56">
        <f>IFERROR(__xludf.DUMMYFUNCTION("""COMPUTED_VALUE"""),10.8)</f>
        <v>10.8</v>
      </c>
      <c r="I29" s="57">
        <f>IFERROR(__xludf.DUMMYFUNCTION("""COMPUTED_VALUE"""),1.0)</f>
        <v>1</v>
      </c>
      <c r="J29" s="58">
        <f>IFERROR(__xludf.DUMMYFUNCTION("""COMPUTED_VALUE"""),10.0)</f>
        <v>10</v>
      </c>
      <c r="K29" s="51"/>
      <c r="L29" s="60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IFERROR(__xludf.DUMMYFUNCTION("""COMPUTED_VALUE"""),7.4)</f>
        <v>7.4</v>
      </c>
      <c r="F30" s="54">
        <f>IFERROR(__xludf.DUMMYFUNCTION("""COMPUTED_VALUE"""),1.8)</f>
        <v>1.8</v>
      </c>
      <c r="G30" s="55">
        <f>IFERROR(__xludf.DUMMYFUNCTION("""COMPUTED_VALUE"""),1.0)</f>
        <v>1</v>
      </c>
      <c r="H30" s="56">
        <f>IFERROR(__xludf.DUMMYFUNCTION("""COMPUTED_VALUE"""),10.200000000000001)</f>
        <v>10.2</v>
      </c>
      <c r="I30" s="57">
        <f>IFERROR(__xludf.DUMMYFUNCTION("""COMPUTED_VALUE"""),1.0)</f>
        <v>1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IFERROR(__xludf.DUMMYFUNCTION("""COMPUTED_VALUE"""),3.4)</f>
        <v>3.4</v>
      </c>
      <c r="F31" s="54">
        <f>IFERROR(__xludf.DUMMYFUNCTION("""COMPUTED_VALUE"""),1.8)</f>
        <v>1.8</v>
      </c>
      <c r="G31" s="55"/>
      <c r="H31" s="56">
        <f>IFERROR(__xludf.DUMMYFUNCTION("""COMPUTED_VALUE"""),5.2)</f>
        <v>5.2</v>
      </c>
      <c r="I31" s="57">
        <f>IFERROR(__xludf.DUMMYFUNCTION("""COMPUTED_VALUE"""),1.0)</f>
        <v>1</v>
      </c>
      <c r="J31" s="58">
        <f>IFERROR(__xludf.DUMMYFUNCTION("""COMPUTED_VALUE"""),5.0)</f>
        <v>5</v>
      </c>
      <c r="K31" s="51"/>
      <c r="L31" s="60">
        <f>IFERROR(__xludf.DUMMYFUNCTION("""COMPUTED_VALUE"""),5.0)</f>
        <v>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IFERROR(__xludf.DUMMYFUNCTION("""COMPUTED_VALUE"""),6.0)</f>
        <v>6</v>
      </c>
      <c r="F32" s="54">
        <f>IFERROR(__xludf.DUMMYFUNCTION("""COMPUTED_VALUE"""),2.0)</f>
        <v>2</v>
      </c>
      <c r="G32" s="55"/>
      <c r="H32" s="56">
        <f>IFERROR(__xludf.DUMMYFUNCTION("""COMPUTED_VALUE"""),8.0)</f>
        <v>8</v>
      </c>
      <c r="I32" s="57"/>
      <c r="J32" s="58">
        <f>IFERROR(__xludf.DUMMYFUNCTION("""COMPUTED_VALUE"""),8.0)</f>
        <v>8</v>
      </c>
      <c r="K32" s="51"/>
      <c r="L32" s="60">
        <f>IFERROR(__xludf.DUMMYFUNCTION("""COMPUTED_VALUE"""),8.0)</f>
        <v>8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IFERROR(__xludf.DUMMYFUNCTION("""COMPUTED_VALUE"""),7.9)</f>
        <v>7.9</v>
      </c>
      <c r="F33" s="54">
        <f>IFERROR(__xludf.DUMMYFUNCTION("""COMPUTED_VALUE"""),2.0)</f>
        <v>2</v>
      </c>
      <c r="G33" s="55"/>
      <c r="H33" s="56">
        <f>IFERROR(__xludf.DUMMYFUNCTION("""COMPUTED_VALUE"""),9.9)</f>
        <v>9.9</v>
      </c>
      <c r="I33" s="57"/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IFERROR(__xludf.DUMMYFUNCTION("""COMPUTED_VALUE"""),6.4)</f>
        <v>6.4</v>
      </c>
      <c r="F34" s="54">
        <f>IFERROR(__xludf.DUMMYFUNCTION("""COMPUTED_VALUE"""),1.9)</f>
        <v>1.9</v>
      </c>
      <c r="G34" s="55"/>
      <c r="H34" s="56">
        <f>IFERROR(__xludf.DUMMYFUNCTION("""COMPUTED_VALUE"""),8.3)</f>
        <v>8.3</v>
      </c>
      <c r="I34" s="57"/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IFERROR(__xludf.DUMMYFUNCTION("""COMPUTED_VALUE"""),7.5)</f>
        <v>7.5</v>
      </c>
      <c r="F35" s="54">
        <f>IFERROR(__xludf.DUMMYFUNCTION("""COMPUTED_VALUE"""),1.4)</f>
        <v>1.4</v>
      </c>
      <c r="G35" s="55"/>
      <c r="H35" s="56">
        <f>IFERROR(__xludf.DUMMYFUNCTION("""COMPUTED_VALUE"""),8.9)</f>
        <v>8.9</v>
      </c>
      <c r="I35" s="57"/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IFERROR(__xludf.DUMMYFUNCTION("""COMPUTED_VALUE"""),4.1)</f>
        <v>4.1</v>
      </c>
      <c r="F36" s="54">
        <f>IFERROR(__xludf.DUMMYFUNCTION("""COMPUTED_VALUE"""),2.0)</f>
        <v>2</v>
      </c>
      <c r="G36" s="55"/>
      <c r="H36" s="56">
        <f>IFERROR(__xludf.DUMMYFUNCTION("""COMPUTED_VALUE"""),6.1)</f>
        <v>6.1</v>
      </c>
      <c r="I36" s="57"/>
      <c r="J36" s="58">
        <f>IFERROR(__xludf.DUMMYFUNCTION("""COMPUTED_VALUE"""),6.0)</f>
        <v>6</v>
      </c>
      <c r="K36" s="51"/>
      <c r="L36" s="60">
        <f>IFERROR(__xludf.DUMMYFUNCTION("""COMPUTED_VALUE"""),6.0)</f>
        <v>6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IFERROR(__xludf.DUMMYFUNCTION("""COMPUTED_VALUE"""),8.0)</f>
        <v>8</v>
      </c>
      <c r="F37" s="54">
        <f>IFERROR(__xludf.DUMMYFUNCTION("""COMPUTED_VALUE"""),1.6)</f>
        <v>1.6</v>
      </c>
      <c r="G37" s="55"/>
      <c r="H37" s="56">
        <f>IFERROR(__xludf.DUMMYFUNCTION("""COMPUTED_VALUE"""),9.6)</f>
        <v>9.6</v>
      </c>
      <c r="I37" s="57"/>
      <c r="J37" s="58">
        <f>IFERROR(__xludf.DUMMYFUNCTION("""COMPUTED_VALUE"""),10.0)</f>
        <v>10</v>
      </c>
      <c r="K37" s="51"/>
      <c r="L37" s="60">
        <f>IFERROR(__xludf.DUMMYFUNCTION("""COMPUTED_VALUE"""),10.0)</f>
        <v>10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IFERROR(__xludf.DUMMYFUNCTION("""COMPUTED_VALUE"""),6.9)</f>
        <v>6.9</v>
      </c>
      <c r="F38" s="54">
        <f>IFERROR(__xludf.DUMMYFUNCTION("""COMPUTED_VALUE"""),2.0)</f>
        <v>2</v>
      </c>
      <c r="G38" s="55"/>
      <c r="H38" s="56">
        <f>IFERROR(__xludf.DUMMYFUNCTION("""COMPUTED_VALUE"""),8.9)</f>
        <v>8.9</v>
      </c>
      <c r="I38" s="57"/>
      <c r="J38" s="58">
        <f>IFERROR(__xludf.DUMMYFUNCTION("""COMPUTED_VALUE"""),9.0)</f>
        <v>9</v>
      </c>
      <c r="K38" s="51"/>
      <c r="L38" s="60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IFERROR(__xludf.DUMMYFUNCTION("""COMPUTED_VALUE"""),5.1)</f>
        <v>5.1</v>
      </c>
      <c r="F39" s="54">
        <f>IFERROR(__xludf.DUMMYFUNCTION("""COMPUTED_VALUE"""),2.0)</f>
        <v>2</v>
      </c>
      <c r="G39" s="55"/>
      <c r="H39" s="56">
        <f>IFERROR(__xludf.DUMMYFUNCTION("""COMPUTED_VALUE"""),7.1)</f>
        <v>7.1</v>
      </c>
      <c r="I39" s="57"/>
      <c r="J39" s="58">
        <f>IFERROR(__xludf.DUMMYFUNCTION("""COMPUTED_VALUE"""),7.0)</f>
        <v>7</v>
      </c>
      <c r="K39" s="51"/>
      <c r="L39" s="60">
        <f>IFERROR(__xludf.DUMMYFUNCTION("""COMPUTED_VALUE"""),7.0)</f>
        <v>7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IFERROR(__xludf.DUMMYFUNCTION("""COMPUTED_VALUE"""),7.1)</f>
        <v>7.1</v>
      </c>
      <c r="F40" s="54">
        <f>IFERROR(__xludf.DUMMYFUNCTION("""COMPUTED_VALUE"""),1.8)</f>
        <v>1.8</v>
      </c>
      <c r="G40" s="55"/>
      <c r="H40" s="56">
        <f>IFERROR(__xludf.DUMMYFUNCTION("""COMPUTED_VALUE"""),8.9)</f>
        <v>8.9</v>
      </c>
      <c r="I40" s="57"/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IFERROR(__xludf.DUMMYFUNCTION("""COMPUTED_VALUE"""),5.8)</f>
        <v>5.8</v>
      </c>
      <c r="F41" s="54">
        <f>IFERROR(__xludf.DUMMYFUNCTION("""COMPUTED_VALUE"""),1.8)</f>
        <v>1.8</v>
      </c>
      <c r="G41" s="55"/>
      <c r="H41" s="56">
        <f>IFERROR(__xludf.DUMMYFUNCTION("""COMPUTED_VALUE"""),7.6)</f>
        <v>7.6</v>
      </c>
      <c r="I41" s="57"/>
      <c r="J41" s="58">
        <f>IFERROR(__xludf.DUMMYFUNCTION("""COMPUTED_VALUE"""),8.0)</f>
        <v>8</v>
      </c>
      <c r="K41" s="51"/>
      <c r="L41" s="60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IFERROR(__xludf.DUMMYFUNCTION("""COMPUTED_VALUE"""),5.9)</f>
        <v>5.9</v>
      </c>
      <c r="F42" s="54">
        <f>IFERROR(__xludf.DUMMYFUNCTION("""COMPUTED_VALUE"""),1.8)</f>
        <v>1.8</v>
      </c>
      <c r="G42" s="55"/>
      <c r="H42" s="56">
        <f>IFERROR(__xludf.DUMMYFUNCTION("""COMPUTED_VALUE"""),7.7)</f>
        <v>7.7</v>
      </c>
      <c r="I42" s="57">
        <f>IFERROR(__xludf.DUMMYFUNCTION("""COMPUTED_VALUE"""),1.0)</f>
        <v>1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IFERROR(__xludf.DUMMYFUNCTION("""COMPUTED_VALUE"""),6.2)</f>
        <v>6.2</v>
      </c>
      <c r="F43" s="54">
        <f>IFERROR(__xludf.DUMMYFUNCTION("""COMPUTED_VALUE"""),1.4)</f>
        <v>1.4</v>
      </c>
      <c r="G43" s="55"/>
      <c r="H43" s="56">
        <f>IFERROR(__xludf.DUMMYFUNCTION("""COMPUTED_VALUE"""),7.6)</f>
        <v>7.6</v>
      </c>
      <c r="I43" s="57"/>
      <c r="J43" s="58">
        <f>IFERROR(__xludf.DUMMYFUNCTION("""COMPUTED_VALUE"""),8.0)</f>
        <v>8</v>
      </c>
      <c r="K43" s="51"/>
      <c r="L43" s="60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IFERROR(__xludf.DUMMYFUNCTION("""COMPUTED_VALUE"""),5.5)</f>
        <v>5.5</v>
      </c>
      <c r="F44" s="54">
        <f>IFERROR(__xludf.DUMMYFUNCTION("""COMPUTED_VALUE"""),1.8)</f>
        <v>1.8</v>
      </c>
      <c r="G44" s="55"/>
      <c r="H44" s="56">
        <f>IFERROR(__xludf.DUMMYFUNCTION("""COMPUTED_VALUE"""),7.3)</f>
        <v>7.3</v>
      </c>
      <c r="I44" s="57">
        <f>IFERROR(__xludf.DUMMYFUNCTION("""COMPUTED_VALUE"""),1.0)</f>
        <v>1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IFERROR(__xludf.DUMMYFUNCTION("""COMPUTED_VALUE"""),8.0)</f>
        <v>8</v>
      </c>
      <c r="F45" s="54">
        <f>IFERROR(__xludf.DUMMYFUNCTION("""COMPUTED_VALUE"""),1.9)</f>
        <v>1.9</v>
      </c>
      <c r="G45" s="55"/>
      <c r="H45" s="56">
        <f>IFERROR(__xludf.DUMMYFUNCTION("""COMPUTED_VALUE"""),9.9)</f>
        <v>9.9</v>
      </c>
      <c r="I45" s="57">
        <f>IFERROR(__xludf.DUMMYFUNCTION("""COMPUTED_VALUE"""),1.0)</f>
        <v>1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IFERROR(__xludf.DUMMYFUNCTION("""COMPUTED_VALUE"""),5.2)</f>
        <v>5.2</v>
      </c>
      <c r="F46" s="54">
        <f>IFERROR(__xludf.DUMMYFUNCTION("""COMPUTED_VALUE"""),1.7)</f>
        <v>1.7</v>
      </c>
      <c r="G46" s="55">
        <f>IFERROR(__xludf.DUMMYFUNCTION("""COMPUTED_VALUE"""),1.0)</f>
        <v>1</v>
      </c>
      <c r="H46" s="56">
        <f>IFERROR(__xludf.DUMMYFUNCTION("""COMPUTED_VALUE"""),7.9)</f>
        <v>7.9</v>
      </c>
      <c r="I46" s="57">
        <f>IFERROR(__xludf.DUMMYFUNCTION("""COMPUTED_VALUE"""),1.0)</f>
        <v>1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IFERROR(__xludf.DUMMYFUNCTION("""COMPUTED_VALUE"""),4.5)</f>
        <v>4.5</v>
      </c>
      <c r="F47" s="54">
        <f>IFERROR(__xludf.DUMMYFUNCTION("""COMPUTED_VALUE"""),1.6)</f>
        <v>1.6</v>
      </c>
      <c r="G47" s="55">
        <f>IFERROR(__xludf.DUMMYFUNCTION("""COMPUTED_VALUE"""),1.0)</f>
        <v>1</v>
      </c>
      <c r="H47" s="56">
        <f>IFERROR(__xludf.DUMMYFUNCTION("""COMPUTED_VALUE"""),7.1)</f>
        <v>7.1</v>
      </c>
      <c r="I47" s="57"/>
      <c r="J47" s="58">
        <f>IFERROR(__xludf.DUMMYFUNCTION("""COMPUTED_VALUE"""),7.0)</f>
        <v>7</v>
      </c>
      <c r="K47" s="51"/>
      <c r="L47" s="60">
        <f>IFERROR(__xludf.DUMMYFUNCTION("""COMPUTED_VALUE"""),7.0)</f>
        <v>7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IFERROR(__xludf.DUMMYFUNCTION("""COMPUTED_VALUE"""),5.8)</f>
        <v>5.8</v>
      </c>
      <c r="F48" s="54">
        <f>IFERROR(__xludf.DUMMYFUNCTION("""COMPUTED_VALUE"""),1.5)</f>
        <v>1.5</v>
      </c>
      <c r="G48" s="55"/>
      <c r="H48" s="56">
        <f>IFERROR(__xludf.DUMMYFUNCTION("""COMPUTED_VALUE"""),7.3)</f>
        <v>7.3</v>
      </c>
      <c r="I48" s="57"/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IFERROR(__xludf.DUMMYFUNCTION("""COMPUTED_VALUE"""),7.5)</f>
        <v>7.5</v>
      </c>
      <c r="F49" s="54">
        <f>IFERROR(__xludf.DUMMYFUNCTION("""COMPUTED_VALUE"""),1.8)</f>
        <v>1.8</v>
      </c>
      <c r="G49" s="55"/>
      <c r="H49" s="56">
        <f>IFERROR(__xludf.DUMMYFUNCTION("""COMPUTED_VALUE"""),9.3)</f>
        <v>9.3</v>
      </c>
      <c r="I49" s="57"/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IFERROR(__xludf.DUMMYFUNCTION("""COMPUTED_VALUE"""),5.3)</f>
        <v>5.3</v>
      </c>
      <c r="F50" s="54">
        <f>IFERROR(__xludf.DUMMYFUNCTION("""COMPUTED_VALUE"""),1.7)</f>
        <v>1.7</v>
      </c>
      <c r="G50" s="55"/>
      <c r="H50" s="56">
        <f>IFERROR(__xludf.DUMMYFUNCTION("""COMPUTED_VALUE"""),7.0)</f>
        <v>7</v>
      </c>
      <c r="I50" s="57">
        <f>IFERROR(__xludf.DUMMYFUNCTION("""COMPUTED_VALUE"""),3.0)</f>
        <v>3</v>
      </c>
      <c r="J50" s="58">
        <f>IFERROR(__xludf.DUMMYFUNCTION("""COMPUTED_VALUE"""),7.0)</f>
        <v>7</v>
      </c>
      <c r="K50" s="51"/>
      <c r="L50" s="60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IFERROR(__xludf.DUMMYFUNCTION("""COMPUTED_VALUE"""),6.8)</f>
        <v>6.8</v>
      </c>
      <c r="F51" s="54">
        <f>IFERROR(__xludf.DUMMYFUNCTION("""COMPUTED_VALUE"""),2.0)</f>
        <v>2</v>
      </c>
      <c r="G51" s="55"/>
      <c r="H51" s="56">
        <f>IFERROR(__xludf.DUMMYFUNCTION("""COMPUTED_VALUE"""),8.8)</f>
        <v>8.8</v>
      </c>
      <c r="I51" s="57"/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IFERROR(__xludf.DUMMYFUNCTION("""COMPUTED_VALUE"""),5.8)</f>
        <v>5.8</v>
      </c>
      <c r="F52" s="54">
        <f>IFERROR(__xludf.DUMMYFUNCTION("""COMPUTED_VALUE"""),2.0)</f>
        <v>2</v>
      </c>
      <c r="G52" s="55"/>
      <c r="H52" s="56">
        <f>IFERROR(__xludf.DUMMYFUNCTION("""COMPUTED_VALUE"""),7.8)</f>
        <v>7.8</v>
      </c>
      <c r="I52" s="57"/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IFERROR(__xludf.DUMMYFUNCTION("""COMPUTED_VALUE"""),7.0)</f>
        <v>7</v>
      </c>
      <c r="F53" s="54">
        <f>IFERROR(__xludf.DUMMYFUNCTION("""COMPUTED_VALUE"""),2.0)</f>
        <v>2</v>
      </c>
      <c r="G53" s="55"/>
      <c r="H53" s="56">
        <f>IFERROR(__xludf.DUMMYFUNCTION("""COMPUTED_VALUE"""),9.0)</f>
        <v>9</v>
      </c>
      <c r="I53" s="57"/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IFERROR(__xludf.DUMMYFUNCTION("""COMPUTED_VALUE"""),5.4)</f>
        <v>5.4</v>
      </c>
      <c r="F54" s="54">
        <f>IFERROR(__xludf.DUMMYFUNCTION("""COMPUTED_VALUE"""),1.5)</f>
        <v>1.5</v>
      </c>
      <c r="G54" s="55"/>
      <c r="H54" s="56">
        <f>IFERROR(__xludf.DUMMYFUNCTION("""COMPUTED_VALUE"""),6.9)</f>
        <v>6.9</v>
      </c>
      <c r="I54" s="57"/>
      <c r="J54" s="58">
        <f>IFERROR(__xludf.DUMMYFUNCTION("""COMPUTED_VALUE"""),7.0)</f>
        <v>7</v>
      </c>
      <c r="K54" s="51"/>
      <c r="L54" s="59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IFERROR(__xludf.DUMMYFUNCTION("""COMPUTED_VALUE"""),6.5)</f>
        <v>6.5</v>
      </c>
      <c r="F55" s="54">
        <f>IFERROR(__xludf.DUMMYFUNCTION("""COMPUTED_VALUE"""),1.2)</f>
        <v>1.2</v>
      </c>
      <c r="G55" s="55"/>
      <c r="H55" s="56">
        <f>IFERROR(__xludf.DUMMYFUNCTION("""COMPUTED_VALUE"""),7.7)</f>
        <v>7.7</v>
      </c>
      <c r="I55" s="61">
        <f>IFERROR(__xludf.DUMMYFUNCTION("""COMPUTED_VALUE"""),1.0)</f>
        <v>1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IFERROR(__xludf.DUMMYFUNCTION("""COMPUTED_VALUE"""),8.0)</f>
        <v>8</v>
      </c>
      <c r="F56" s="54">
        <f>IFERROR(__xludf.DUMMYFUNCTION("""COMPUTED_VALUE"""),1.8)</f>
        <v>1.8</v>
      </c>
      <c r="G56" s="55"/>
      <c r="H56" s="56">
        <f>IFERROR(__xludf.DUMMYFUNCTION("""COMPUTED_VALUE"""),9.8)</f>
        <v>9.8</v>
      </c>
      <c r="I56" s="61"/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IFERROR(__xludf.DUMMYFUNCTION("""COMPUTED_VALUE"""),6.1)</f>
        <v>6.1</v>
      </c>
      <c r="F57" s="54">
        <f>IFERROR(__xludf.DUMMYFUNCTION("""COMPUTED_VALUE"""),1.5)</f>
        <v>1.5</v>
      </c>
      <c r="G57" s="55">
        <f>IFERROR(__xludf.DUMMYFUNCTION("""COMPUTED_VALUE"""),1.0)</f>
        <v>1</v>
      </c>
      <c r="H57" s="56">
        <f>IFERROR(__xludf.DUMMYFUNCTION("""COMPUTED_VALUE"""),8.6)</f>
        <v>8.6</v>
      </c>
      <c r="I57" s="61"/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IFERROR(__xludf.DUMMYFUNCTION("""COMPUTED_VALUE"""),1.6)</f>
        <v>1.6</v>
      </c>
      <c r="G58" s="55">
        <f>IFERROR(__xludf.DUMMYFUNCTION("""COMPUTED_VALUE"""),1.0)</f>
        <v>1</v>
      </c>
      <c r="H58" s="56">
        <f>IFERROR(__xludf.DUMMYFUNCTION("""COMPUTED_VALUE"""),10.6)</f>
        <v>10.6</v>
      </c>
      <c r="I58" s="61"/>
      <c r="J58" s="58">
        <f>IFERROR(__xludf.DUMMYFUNCTION("""COMPUTED_VALUE"""),10.0)</f>
        <v>10</v>
      </c>
      <c r="K58" s="51"/>
      <c r="L58" s="59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IFERROR(__xludf.DUMMYFUNCTION("""COMPUTED_VALUE"""),6.2)</f>
        <v>6.2</v>
      </c>
      <c r="F59" s="54">
        <f>IFERROR(__xludf.DUMMYFUNCTION("""COMPUTED_VALUE"""),1.8)</f>
        <v>1.8</v>
      </c>
      <c r="G59" s="55">
        <f>IFERROR(__xludf.DUMMYFUNCTION("""COMPUTED_VALUE"""),1.0)</f>
        <v>1</v>
      </c>
      <c r="H59" s="56">
        <f>IFERROR(__xludf.DUMMYFUNCTION("""COMPUTED_VALUE"""),9.0)</f>
        <v>9</v>
      </c>
      <c r="I59" s="61"/>
      <c r="J59" s="58">
        <f>IFERROR(__xludf.DUMMYFUNCTION("""COMPUTED_VALUE"""),9.0)</f>
        <v>9</v>
      </c>
      <c r="K59" s="51"/>
      <c r="L59" s="59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IFERROR(__xludf.DUMMYFUNCTION("""COMPUTED_VALUE"""),6.6)</f>
        <v>6.6</v>
      </c>
      <c r="F60" s="54">
        <f>IFERROR(__xludf.DUMMYFUNCTION("""COMPUTED_VALUE"""),1.5)</f>
        <v>1.5</v>
      </c>
      <c r="G60" s="55">
        <f>IFERROR(__xludf.DUMMYFUNCTION("""COMPUTED_VALUE"""),1.0)</f>
        <v>1</v>
      </c>
      <c r="H60" s="56">
        <f>IFERROR(__xludf.DUMMYFUNCTION("""COMPUTED_VALUE"""),9.1)</f>
        <v>9.1</v>
      </c>
      <c r="I60" s="61"/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IFERROR(__xludf.DUMMYFUNCTION("""COMPUTED_VALUE"""),5.3)</f>
        <v>5.3</v>
      </c>
      <c r="F61" s="54">
        <f>IFERROR(__xludf.DUMMYFUNCTION("""COMPUTED_VALUE"""),2.0)</f>
        <v>2</v>
      </c>
      <c r="G61" s="55"/>
      <c r="H61" s="56">
        <f>IFERROR(__xludf.DUMMYFUNCTION("""COMPUTED_VALUE"""),7.3)</f>
        <v>7.3</v>
      </c>
      <c r="I61" s="61"/>
      <c r="J61" s="58">
        <f>IFERROR(__xludf.DUMMYFUNCTION("""COMPUTED_VALUE"""),7.0)</f>
        <v>7</v>
      </c>
      <c r="K61" s="51"/>
      <c r="L61" s="59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IFERROR(__xludf.DUMMYFUNCTION("""COMPUTED_VALUE"""),44.0)</f>
        <v>44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IFERROR(__xludf.DUMMYFUNCTION("""COMPUTED_VALUE"""),1.0)</f>
        <v>1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IFERROR(__xludf.DUMMYFUNCTION("""COMPUTED_VALUE"""),97.77777777777777)</f>
        <v>97.77777778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IFERROR(__xludf.DUMMYFUNCTION("""COMPUTED_VALUE"""),8.444444444444445)</f>
        <v>8.444444444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6697936210131332" right="0.1968503937007874" top="0.09568480300187618"/>
  <pageSetup scale="4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IFERROR(__xludf.DUMMYFUNCTION("IMPORTRANGE(""https://docs.google.com/spreadsheets/d/1XXpLVmvERIkOwfwjUI8iua9nnOnyLO6P4Lg4qznMCsI/edit?gid=66668523#gid=66668523"",""3-1 temas selectos de matematicas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IFERROR(__xludf.DUMMYFUNCTION("""COMPUTED_VALUE"""),"Ernesto Brena Colin")</f>
        <v>Ernesto Brena Colin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MATEMÁTICAS II")</f>
        <v>TEMAS SELECTOS DE MATEMÁTICAS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IFERROR(__xludf.DUMMYFUNCTION("""COMPUTED_VALUE"""),8.0)</f>
        <v>8</v>
      </c>
      <c r="F17" s="54">
        <f>IFERROR(__xludf.DUMMYFUNCTION("""COMPUTED_VALUE"""),1.9)</f>
        <v>1.9</v>
      </c>
      <c r="G17" s="55"/>
      <c r="H17" s="56">
        <f>IFERROR(__xludf.DUMMYFUNCTION("""COMPUTED_VALUE"""),9.9)</f>
        <v>9.9</v>
      </c>
      <c r="I17" s="57">
        <f>IFERROR(__xludf.DUMMYFUNCTION("""COMPUTED_VALUE"""),1.0)</f>
        <v>1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IFERROR(__xludf.DUMMYFUNCTION("""COMPUTED_VALUE"""),11.0)</f>
        <v>11</v>
      </c>
      <c r="I18" s="57">
        <f>IFERROR(__xludf.DUMMYFUNCTION("""COMPUTED_VALUE"""),1.0)</f>
        <v>1</v>
      </c>
      <c r="J18" s="58">
        <f>IFERROR(__xludf.DUMMYFUNCTION("""COMPUTED_VALUE"""),10.0)</f>
        <v>10</v>
      </c>
      <c r="K18" s="51"/>
      <c r="L18" s="60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IFERROR(__xludf.DUMMYFUNCTION("""COMPUTED_VALUE"""),7.23076923)</f>
        <v>7.23076923</v>
      </c>
      <c r="F19" s="54">
        <f>IFERROR(__xludf.DUMMYFUNCTION("""COMPUTED_VALUE"""),1.9)</f>
        <v>1.9</v>
      </c>
      <c r="G19" s="55"/>
      <c r="H19" s="56">
        <f>IFERROR(__xludf.DUMMYFUNCTION("""COMPUTED_VALUE"""),9.13076923)</f>
        <v>9.13076923</v>
      </c>
      <c r="I19" s="57">
        <f>IFERROR(__xludf.DUMMYFUNCTION("""COMPUTED_VALUE"""),1.0)</f>
        <v>1</v>
      </c>
      <c r="J19" s="58">
        <f>IFERROR(__xludf.DUMMYFUNCTION("""COMPUTED_VALUE"""),9.0)</f>
        <v>9</v>
      </c>
      <c r="K19" s="51"/>
      <c r="L19" s="60">
        <f>IFERROR(__xludf.DUMMYFUNCTION("""COMPUTED_VALUE"""),9.0)</f>
        <v>9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IFERROR(__xludf.DUMMYFUNCTION("""COMPUTED_VALUE"""),6.46153846)</f>
        <v>6.46153846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IFERROR(__xludf.DUMMYFUNCTION("""COMPUTED_VALUE"""),9.46153846)</f>
        <v>9.46153846</v>
      </c>
      <c r="I20" s="57">
        <f>IFERROR(__xludf.DUMMYFUNCTION("""COMPUTED_VALUE"""),1.0)</f>
        <v>1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>
        <f>IFERROR(__xludf.DUMMYFUNCTION("""COMPUTED_VALUE"""),10.0)</f>
        <v>10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IFERROR(__xludf.DUMMYFUNCTION("""COMPUTED_VALUE"""),6.46153846)</f>
        <v>6.46153846</v>
      </c>
      <c r="F21" s="54">
        <f>IFERROR(__xludf.DUMMYFUNCTION("""COMPUTED_VALUE"""),1.9)</f>
        <v>1.9</v>
      </c>
      <c r="G21" s="55">
        <f>IFERROR(__xludf.DUMMYFUNCTION("""COMPUTED_VALUE"""),1.0)</f>
        <v>1</v>
      </c>
      <c r="H21" s="56">
        <f>IFERROR(__xludf.DUMMYFUNCTION("""COMPUTED_VALUE"""),9.36153846)</f>
        <v>9.36153846</v>
      </c>
      <c r="I21" s="57">
        <f>IFERROR(__xludf.DUMMYFUNCTION("""COMPUTED_VALUE"""),1.0)</f>
        <v>1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IFERROR(__xludf.DUMMYFUNCTION("""COMPUTED_VALUE"""),6.46153846)</f>
        <v>6.46153846</v>
      </c>
      <c r="F22" s="54">
        <f>IFERROR(__xludf.DUMMYFUNCTION("""COMPUTED_VALUE"""),2.0)</f>
        <v>2</v>
      </c>
      <c r="G22" s="55"/>
      <c r="H22" s="56">
        <f>IFERROR(__xludf.DUMMYFUNCTION("""COMPUTED_VALUE"""),8.46153846)</f>
        <v>8.46153846</v>
      </c>
      <c r="I22" s="57">
        <f>IFERROR(__xludf.DUMMYFUNCTION("""COMPUTED_VALUE"""),3.0)</f>
        <v>3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IFERROR(__xludf.DUMMYFUNCTION("""COMPUTED_VALUE"""),"Junio")</f>
        <v>Junio</v>
      </c>
      <c r="N22" s="1">
        <f>IFERROR(__xludf.DUMMYFUNCTION("""COMPUTED_VALUE"""),18.0)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IFERROR(__xludf.DUMMYFUNCTION("""COMPUTED_VALUE"""),7.61538462)</f>
        <v>7.61538462</v>
      </c>
      <c r="F23" s="54">
        <f>IFERROR(__xludf.DUMMYFUNCTION("""COMPUTED_VALUE"""),2.0)</f>
        <v>2</v>
      </c>
      <c r="G23" s="55"/>
      <c r="H23" s="56">
        <f>IFERROR(__xludf.DUMMYFUNCTION("""COMPUTED_VALUE"""),9.61538462)</f>
        <v>9.61538462</v>
      </c>
      <c r="I23" s="57">
        <f>IFERROR(__xludf.DUMMYFUNCTION("""COMPUTED_VALUE"""),0.0)</f>
        <v>0</v>
      </c>
      <c r="J23" s="58">
        <f>IFERROR(__xludf.DUMMYFUNCTION("""COMPUTED_VALUE"""),10.0)</f>
        <v>10</v>
      </c>
      <c r="K23" s="51"/>
      <c r="L23" s="60">
        <f>IFERROR(__xludf.DUMMYFUNCTION("""COMPUTED_VALUE"""),10.0)</f>
        <v>10</v>
      </c>
      <c r="M23" s="1" t="str">
        <f>IFERROR(__xludf.DUMMYFUNCTION("""COMPUTED_VALUE"""),"Julio")</f>
        <v>Julio</v>
      </c>
      <c r="N23" s="1">
        <f>IFERROR(__xludf.DUMMYFUNCTION("""COMPUTED_VALUE"""),8.0)</f>
        <v>8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IFERROR(__xludf.DUMMYFUNCTION("""COMPUTED_VALUE"""),6.46153846)</f>
        <v>6.46153846</v>
      </c>
      <c r="F24" s="54">
        <f>IFERROR(__xludf.DUMMYFUNCTION("""COMPUTED_VALUE"""),1.9)</f>
        <v>1.9</v>
      </c>
      <c r="G24" s="55"/>
      <c r="H24" s="56">
        <f>IFERROR(__xludf.DUMMYFUNCTION("""COMPUTED_VALUE"""),8.36153846)</f>
        <v>8.36153846</v>
      </c>
      <c r="I24" s="57">
        <f>IFERROR(__xludf.DUMMYFUNCTION("""COMPUTED_VALUE"""),1.0)</f>
        <v>1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IFERROR(__xludf.DUMMYFUNCTION("""COMPUTED_VALUE"""),70.0)</f>
        <v>70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IFERROR(__xludf.DUMMYFUNCTION("""COMPUTED_VALUE"""),6.84615385)</f>
        <v>6.84615385</v>
      </c>
      <c r="F25" s="54">
        <f>IFERROR(__xludf.DUMMYFUNCTION("""COMPUTED_VALUE"""),2.0)</f>
        <v>2</v>
      </c>
      <c r="G25" s="55"/>
      <c r="H25" s="56">
        <f>IFERROR(__xludf.DUMMYFUNCTION("""COMPUTED_VALUE"""),8.84615385)</f>
        <v>8.84615385</v>
      </c>
      <c r="I25" s="57">
        <f>IFERROR(__xludf.DUMMYFUNCTION("""COMPUTED_VALUE"""),2.0)</f>
        <v>2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IFERROR(__xludf.DUMMYFUNCTION("""COMPUTED_VALUE"""),1.9)</f>
        <v>1.9</v>
      </c>
      <c r="G26" s="55"/>
      <c r="H26" s="56">
        <f>IFERROR(__xludf.DUMMYFUNCTION("""COMPUTED_VALUE"""),9.9)</f>
        <v>9.9</v>
      </c>
      <c r="I26" s="57">
        <f>IFERROR(__xludf.DUMMYFUNCTION("""COMPUTED_VALUE"""),1.0)</f>
        <v>1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IFERROR(__xludf.DUMMYFUNCTION("""COMPUTED_VALUE"""),6.84615385)</f>
        <v>6.84615385</v>
      </c>
      <c r="F27" s="54">
        <f>IFERROR(__xludf.DUMMYFUNCTION("""COMPUTED_VALUE"""),2.0)</f>
        <v>2</v>
      </c>
      <c r="G27" s="55"/>
      <c r="H27" s="56">
        <f>IFERROR(__xludf.DUMMYFUNCTION("""COMPUTED_VALUE"""),8.84615385)</f>
        <v>8.84615385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IFERROR(__xludf.DUMMYFUNCTION("""COMPUTED_VALUE"""),1.9)</f>
        <v>1.9</v>
      </c>
      <c r="G29" s="55">
        <f>IFERROR(__xludf.DUMMYFUNCTION("""COMPUTED_VALUE"""),1.0)</f>
        <v>1</v>
      </c>
      <c r="H29" s="56">
        <f>IFERROR(__xludf.DUMMYFUNCTION("""COMPUTED_VALUE"""),10.9)</f>
        <v>10.9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IFERROR(__xludf.DUMMYFUNCTION("""COMPUTED_VALUE"""),7.61538462)</f>
        <v>7.61538462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IFERROR(__xludf.DUMMYFUNCTION("""COMPUTED_VALUE"""),10.61538462)</f>
        <v>10.61538462</v>
      </c>
      <c r="I30" s="57">
        <f>IFERROR(__xludf.DUMMYFUNCTION("""COMPUTED_VALUE"""),1.0)</f>
        <v>1</v>
      </c>
      <c r="J30" s="58">
        <f>IFERROR(__xludf.DUMMYFUNCTION("""COMPUTED_VALUE"""),10.0)</f>
        <v>10</v>
      </c>
      <c r="K30" s="51"/>
      <c r="L30" s="60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IFERROR(__xludf.DUMMYFUNCTION("""COMPUTED_VALUE"""),6.07692308)</f>
        <v>6.07692308</v>
      </c>
      <c r="F31" s="54">
        <f>IFERROR(__xludf.DUMMYFUNCTION("""COMPUTED_VALUE"""),0.0)</f>
        <v>0</v>
      </c>
      <c r="G31" s="55"/>
      <c r="H31" s="56">
        <f>IFERROR(__xludf.DUMMYFUNCTION("""COMPUTED_VALUE"""),6.07692308)</f>
        <v>6.07692308</v>
      </c>
      <c r="I31" s="57">
        <f>IFERROR(__xludf.DUMMYFUNCTION("""COMPUTED_VALUE"""),1.0)</f>
        <v>1</v>
      </c>
      <c r="J31" s="58">
        <f>IFERROR(__xludf.DUMMYFUNCTION("""COMPUTED_VALUE"""),6.0)</f>
        <v>6</v>
      </c>
      <c r="K31" s="51"/>
      <c r="L31" s="60">
        <f>IFERROR(__xludf.DUMMYFUNCTION("""COMPUTED_VALUE"""),6.0)</f>
        <v>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IFERROR(__xludf.DUMMYFUNCTION("""COMPUTED_VALUE"""),8.0)</f>
        <v>8</v>
      </c>
      <c r="F33" s="54">
        <f>IFERROR(__xludf.DUMMYFUNCTION("""COMPUTED_VALUE"""),1.8)</f>
        <v>1.8</v>
      </c>
      <c r="G33" s="55"/>
      <c r="H33" s="56">
        <f>IFERROR(__xludf.DUMMYFUNCTION("""COMPUTED_VALUE"""),9.8)</f>
        <v>9.8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IFERROR(__xludf.DUMMYFUNCTION("""COMPUTED_VALUE"""),7.61538462)</f>
        <v>7.61538462</v>
      </c>
      <c r="F34" s="54">
        <f>IFERROR(__xludf.DUMMYFUNCTION("""COMPUTED_VALUE"""),2.0)</f>
        <v>2</v>
      </c>
      <c r="G34" s="55"/>
      <c r="H34" s="56">
        <f>IFERROR(__xludf.DUMMYFUNCTION("""COMPUTED_VALUE"""),9.61538462)</f>
        <v>9.61538462</v>
      </c>
      <c r="I34" s="57">
        <f>IFERROR(__xludf.DUMMYFUNCTION("""COMPUTED_VALUE"""),1.0)</f>
        <v>1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IFERROR(__xludf.DUMMYFUNCTION("""COMPUTED_VALUE"""),7.61538462)</f>
        <v>7.61538462</v>
      </c>
      <c r="F35" s="54">
        <f>IFERROR(__xludf.DUMMYFUNCTION("""COMPUTED_VALUE"""),1.9)</f>
        <v>1.9</v>
      </c>
      <c r="G35" s="55"/>
      <c r="H35" s="56">
        <f>IFERROR(__xludf.DUMMYFUNCTION("""COMPUTED_VALUE"""),9.51538462)</f>
        <v>9.51538462</v>
      </c>
      <c r="I35" s="57">
        <f>IFERROR(__xludf.DUMMYFUNCTION("""COMPUTED_VALUE"""),1.0)</f>
        <v>1</v>
      </c>
      <c r="J35" s="58">
        <f>IFERROR(__xludf.DUMMYFUNCTION("""COMPUTED_VALUE"""),10.0)</f>
        <v>10</v>
      </c>
      <c r="K35" s="51"/>
      <c r="L35" s="60">
        <f>IFERROR(__xludf.DUMMYFUNCTION("""COMPUTED_VALUE"""),10.0)</f>
        <v>10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IFERROR(__xludf.DUMMYFUNCTION("""COMPUTED_VALUE"""),6.07692308)</f>
        <v>6.07692308</v>
      </c>
      <c r="F36" s="54">
        <f>IFERROR(__xludf.DUMMYFUNCTION("""COMPUTED_VALUE"""),1.9)</f>
        <v>1.9</v>
      </c>
      <c r="G36" s="55"/>
      <c r="H36" s="56">
        <f>IFERROR(__xludf.DUMMYFUNCTION("""COMPUTED_VALUE"""),7.976923080000001)</f>
        <v>7.97692308</v>
      </c>
      <c r="I36" s="57">
        <f>IFERROR(__xludf.DUMMYFUNCTION("""COMPUTED_VALUE"""),3.0)</f>
        <v>3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IFERROR(__xludf.DUMMYFUNCTION("""COMPUTED_VALUE"""),6.84615385)</f>
        <v>6.84615385</v>
      </c>
      <c r="F37" s="54">
        <f>IFERROR(__xludf.DUMMYFUNCTION("""COMPUTED_VALUE"""),2.0)</f>
        <v>2</v>
      </c>
      <c r="G37" s="55"/>
      <c r="H37" s="56">
        <f>IFERROR(__xludf.DUMMYFUNCTION("""COMPUTED_VALUE"""),8.84615385)</f>
        <v>8.84615385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IFERROR(__xludf.DUMMYFUNCTION("""COMPUTED_VALUE"""),7.23076923)</f>
        <v>7.23076923</v>
      </c>
      <c r="F38" s="54">
        <f>IFERROR(__xludf.DUMMYFUNCTION("""COMPUTED_VALUE"""),2.0)</f>
        <v>2</v>
      </c>
      <c r="G38" s="55"/>
      <c r="H38" s="56">
        <f>IFERROR(__xludf.DUMMYFUNCTION("""COMPUTED_VALUE"""),9.23076923)</f>
        <v>9.23076923</v>
      </c>
      <c r="I38" s="57">
        <f>IFERROR(__xludf.DUMMYFUNCTION("""COMPUTED_VALUE"""),0.0)</f>
        <v>0</v>
      </c>
      <c r="J38" s="58">
        <f>IFERROR(__xludf.DUMMYFUNCTION("""COMPUTED_VALUE"""),9.0)</f>
        <v>9</v>
      </c>
      <c r="K38" s="51"/>
      <c r="L38" s="60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IFERROR(__xludf.DUMMYFUNCTION("""COMPUTED_VALUE"""),8.0)</f>
        <v>8</v>
      </c>
      <c r="F40" s="54">
        <f>IFERROR(__xludf.DUMMYFUNCTION("""COMPUTED_VALUE"""),1.9)</f>
        <v>1.9</v>
      </c>
      <c r="G40" s="55"/>
      <c r="H40" s="56">
        <f>IFERROR(__xludf.DUMMYFUNCTION("""COMPUTED_VALUE"""),9.9)</f>
        <v>9.9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IFERROR(__xludf.DUMMYFUNCTION("""COMPUTED_VALUE"""),4.62307692)</f>
        <v>4.62307692</v>
      </c>
      <c r="F41" s="54">
        <f>IFERROR(__xludf.DUMMYFUNCTION("""COMPUTED_VALUE"""),1.9)</f>
        <v>1.9</v>
      </c>
      <c r="G41" s="55"/>
      <c r="H41" s="56">
        <f>IFERROR(__xludf.DUMMYFUNCTION("""COMPUTED_VALUE"""),6.523076919999999)</f>
        <v>6.52307692</v>
      </c>
      <c r="I41" s="57">
        <f>IFERROR(__xludf.DUMMYFUNCTION("""COMPUTED_VALUE"""),2.0)</f>
        <v>2</v>
      </c>
      <c r="J41" s="58">
        <f>IFERROR(__xludf.DUMMYFUNCTION("""COMPUTED_VALUE"""),7.0)</f>
        <v>7</v>
      </c>
      <c r="K41" s="51"/>
      <c r="L41" s="60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IFERROR(__xludf.DUMMYFUNCTION("""COMPUTED_VALUE"""),7.23076923)</f>
        <v>7.23076923</v>
      </c>
      <c r="F42" s="54">
        <f>IFERROR(__xludf.DUMMYFUNCTION("""COMPUTED_VALUE"""),2.0)</f>
        <v>2</v>
      </c>
      <c r="G42" s="55"/>
      <c r="H42" s="56">
        <f>IFERROR(__xludf.DUMMYFUNCTION("""COMPUTED_VALUE"""),9.23076923)</f>
        <v>9.23076923</v>
      </c>
      <c r="I42" s="57">
        <f>IFERROR(__xludf.DUMMYFUNCTION("""COMPUTED_VALUE"""),4.0)</f>
        <v>4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IFERROR(__xludf.DUMMYFUNCTION("""COMPUTED_VALUE"""),6.46153846)</f>
        <v>6.46153846</v>
      </c>
      <c r="F43" s="54">
        <f>IFERROR(__xludf.DUMMYFUNCTION("""COMPUTED_VALUE"""),0.0)</f>
        <v>0</v>
      </c>
      <c r="G43" s="55"/>
      <c r="H43" s="56">
        <f>IFERROR(__xludf.DUMMYFUNCTION("""COMPUTED_VALUE"""),6.46153846)</f>
        <v>6.46153846</v>
      </c>
      <c r="I43" s="57">
        <f>IFERROR(__xludf.DUMMYFUNCTION("""COMPUTED_VALUE"""),2.0)</f>
        <v>2</v>
      </c>
      <c r="J43" s="58">
        <f>IFERROR(__xludf.DUMMYFUNCTION("""COMPUTED_VALUE"""),6.0)</f>
        <v>6</v>
      </c>
      <c r="K43" s="51"/>
      <c r="L43" s="60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IFERROR(__xludf.DUMMYFUNCTION("""COMPUTED_VALUE"""),6.84615385)</f>
        <v>6.84615385</v>
      </c>
      <c r="F44" s="54">
        <f>IFERROR(__xludf.DUMMYFUNCTION("""COMPUTED_VALUE"""),2.0)</f>
        <v>2</v>
      </c>
      <c r="G44" s="55"/>
      <c r="H44" s="56">
        <f>IFERROR(__xludf.DUMMYFUNCTION("""COMPUTED_VALUE"""),8.84615385)</f>
        <v>8.84615385</v>
      </c>
      <c r="I44" s="57">
        <f>IFERROR(__xludf.DUMMYFUNCTION("""COMPUTED_VALUE"""),0.0)</f>
        <v>0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IFERROR(__xludf.DUMMYFUNCTION("""COMPUTED_VALUE"""),7.23076923)</f>
        <v>7.23076923</v>
      </c>
      <c r="F45" s="54">
        <f>IFERROR(__xludf.DUMMYFUNCTION("""COMPUTED_VALUE"""),2.0)</f>
        <v>2</v>
      </c>
      <c r="G45" s="55"/>
      <c r="H45" s="56">
        <f>IFERROR(__xludf.DUMMYFUNCTION("""COMPUTED_VALUE"""),9.23076923)</f>
        <v>9.23076923</v>
      </c>
      <c r="I45" s="57">
        <f>IFERROR(__xludf.DUMMYFUNCTION("""COMPUTED_VALUE"""),1.0)</f>
        <v>1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IFERROR(__xludf.DUMMYFUNCTION("""COMPUTED_VALUE"""),5.47692308)</f>
        <v>5.47692308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IFERROR(__xludf.DUMMYFUNCTION("""COMPUTED_VALUE"""),8.476923079999999)</f>
        <v>8.47692308</v>
      </c>
      <c r="I46" s="57">
        <f>IFERROR(__xludf.DUMMYFUNCTION("""COMPUTED_VALUE"""),4.0)</f>
        <v>4</v>
      </c>
      <c r="J46" s="58">
        <f>IFERROR(__xludf.DUMMYFUNCTION("""COMPUTED_VALUE"""),8.0)</f>
        <v>8</v>
      </c>
      <c r="K46" s="51"/>
      <c r="L46" s="60">
        <f>IFERROR(__xludf.DUMMYFUNCTION("""COMPUTED_VALUE"""),8.0)</f>
        <v>8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IFERROR(__xludf.DUMMYFUNCTION("""COMPUTED_VALUE"""),7.23076923)</f>
        <v>7.23076923</v>
      </c>
      <c r="F47" s="54">
        <f>IFERROR(__xludf.DUMMYFUNCTION("""COMPUTED_VALUE"""),1.9)</f>
        <v>1.9</v>
      </c>
      <c r="G47" s="55">
        <f>IFERROR(__xludf.DUMMYFUNCTION("""COMPUTED_VALUE"""),1.0)</f>
        <v>1</v>
      </c>
      <c r="H47" s="56">
        <f>IFERROR(__xludf.DUMMYFUNCTION("""COMPUTED_VALUE"""),10.13076923)</f>
        <v>10.13076923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IFERROR(__xludf.DUMMYFUNCTION("""COMPUTED_VALUE"""),7.23076923)</f>
        <v>7.23076923</v>
      </c>
      <c r="F48" s="54">
        <f>IFERROR(__xludf.DUMMYFUNCTION("""COMPUTED_VALUE"""),1.9)</f>
        <v>1.9</v>
      </c>
      <c r="G48" s="55"/>
      <c r="H48" s="56">
        <f>IFERROR(__xludf.DUMMYFUNCTION("""COMPUTED_VALUE"""),9.13076923)</f>
        <v>9.13076923</v>
      </c>
      <c r="I48" s="57">
        <f>IFERROR(__xludf.DUMMYFUNCTION("""COMPUTED_VALUE"""),0.0)</f>
        <v>0</v>
      </c>
      <c r="J48" s="58">
        <f>IFERROR(__xludf.DUMMYFUNCTION("""COMPUTED_VALUE"""),9.0)</f>
        <v>9</v>
      </c>
      <c r="K48" s="51"/>
      <c r="L48" s="60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IFERROR(__xludf.DUMMYFUNCTION("""COMPUTED_VALUE"""),7.23076923)</f>
        <v>7.23076923</v>
      </c>
      <c r="F49" s="54">
        <f>IFERROR(__xludf.DUMMYFUNCTION("""COMPUTED_VALUE"""),2.0)</f>
        <v>2</v>
      </c>
      <c r="G49" s="55"/>
      <c r="H49" s="56">
        <f>IFERROR(__xludf.DUMMYFUNCTION("""COMPUTED_VALUE"""),9.23076923)</f>
        <v>9.23076923</v>
      </c>
      <c r="I49" s="57">
        <f>IFERROR(__xludf.DUMMYFUNCTION("""COMPUTED_VALUE"""),1.0)</f>
        <v>1</v>
      </c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IFERROR(__xludf.DUMMYFUNCTION("""COMPUTED_VALUE"""),6.07692308)</f>
        <v>6.07692308</v>
      </c>
      <c r="F50" s="54">
        <f>IFERROR(__xludf.DUMMYFUNCTION("""COMPUTED_VALUE"""),2.0)</f>
        <v>2</v>
      </c>
      <c r="G50" s="55"/>
      <c r="H50" s="56">
        <f>IFERROR(__xludf.DUMMYFUNCTION("""COMPUTED_VALUE"""),8.07692308)</f>
        <v>8.07692308</v>
      </c>
      <c r="I50" s="57">
        <f>IFERROR(__xludf.DUMMYFUNCTION("""COMPUTED_VALUE"""),4.0)</f>
        <v>4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IFERROR(__xludf.DUMMYFUNCTION("""COMPUTED_VALUE"""),6.46153846)</f>
        <v>6.46153846</v>
      </c>
      <c r="F51" s="54">
        <f>IFERROR(__xludf.DUMMYFUNCTION("""COMPUTED_VALUE"""),2.0)</f>
        <v>2</v>
      </c>
      <c r="G51" s="55"/>
      <c r="H51" s="56">
        <f>IFERROR(__xludf.DUMMYFUNCTION("""COMPUTED_VALUE"""),8.46153846)</f>
        <v>8.46153846</v>
      </c>
      <c r="I51" s="57">
        <f>IFERROR(__xludf.DUMMYFUNCTION("""COMPUTED_VALUE"""),1.0)</f>
        <v>1</v>
      </c>
      <c r="J51" s="58">
        <f>IFERROR(__xludf.DUMMYFUNCTION("""COMPUTED_VALUE"""),8.0)</f>
        <v>8</v>
      </c>
      <c r="K51" s="51"/>
      <c r="L51" s="60">
        <f>IFERROR(__xludf.DUMMYFUNCTION("""COMPUTED_VALUE"""),8.0)</f>
        <v>8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IFERROR(__xludf.DUMMYFUNCTION("""COMPUTED_VALUE"""),6.46153846)</f>
        <v>6.46153846</v>
      </c>
      <c r="F52" s="54">
        <f>IFERROR(__xludf.DUMMYFUNCTION("""COMPUTED_VALUE"""),2.0)</f>
        <v>2</v>
      </c>
      <c r="G52" s="55"/>
      <c r="H52" s="56">
        <f>IFERROR(__xludf.DUMMYFUNCTION("""COMPUTED_VALUE"""),8.46153846)</f>
        <v>8.46153846</v>
      </c>
      <c r="I52" s="57">
        <f>IFERROR(__xludf.DUMMYFUNCTION("""COMPUTED_VALUE"""),1.0)</f>
        <v>1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IFERROR(__xludf.DUMMYFUNCTION("""COMPUTED_VALUE"""),7.23076923)</f>
        <v>7.23076923</v>
      </c>
      <c r="F53" s="54">
        <f>IFERROR(__xludf.DUMMYFUNCTION("""COMPUTED_VALUE"""),2.0)</f>
        <v>2</v>
      </c>
      <c r="G53" s="55"/>
      <c r="H53" s="56">
        <f>IFERROR(__xludf.DUMMYFUNCTION("""COMPUTED_VALUE"""),9.23076923)</f>
        <v>9.23076923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IFERROR(__xludf.DUMMYFUNCTION("""COMPUTED_VALUE"""),7.23076923)</f>
        <v>7.23076923</v>
      </c>
      <c r="F54" s="54">
        <f>IFERROR(__xludf.DUMMYFUNCTION("""COMPUTED_VALUE"""),1.9)</f>
        <v>1.9</v>
      </c>
      <c r="G54" s="55"/>
      <c r="H54" s="56">
        <f>IFERROR(__xludf.DUMMYFUNCTION("""COMPUTED_VALUE"""),9.13076923)</f>
        <v>9.13076923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IFERROR(__xludf.DUMMYFUNCTION("""COMPUTED_VALUE"""),6.84615385)</f>
        <v>6.84615385</v>
      </c>
      <c r="F55" s="54">
        <f>IFERROR(__xludf.DUMMYFUNCTION("""COMPUTED_VALUE"""),2.0)</f>
        <v>2</v>
      </c>
      <c r="G55" s="55"/>
      <c r="H55" s="56">
        <f>IFERROR(__xludf.DUMMYFUNCTION("""COMPUTED_VALUE"""),8.84615385)</f>
        <v>8.84615385</v>
      </c>
      <c r="I55" s="61">
        <f>IFERROR(__xludf.DUMMYFUNCTION("""COMPUTED_VALUE"""),3.0)</f>
        <v>3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IFERROR(__xludf.DUMMYFUNCTION("""COMPUTED_VALUE"""),8.0)</f>
        <v>8</v>
      </c>
      <c r="F56" s="54">
        <f>IFERROR(__xludf.DUMMYFUNCTION("""COMPUTED_VALUE"""),1.9)</f>
        <v>1.9</v>
      </c>
      <c r="G56" s="55"/>
      <c r="H56" s="56">
        <f>IFERROR(__xludf.DUMMYFUNCTION("""COMPUTED_VALUE"""),9.9)</f>
        <v>9.9</v>
      </c>
      <c r="I56" s="61">
        <f>IFERROR(__xludf.DUMMYFUNCTION("""COMPUTED_VALUE"""),0.0)</f>
        <v>0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IFERROR(__xludf.DUMMYFUNCTION("""COMPUTED_VALUE"""),6.46153846)</f>
        <v>6.46153846</v>
      </c>
      <c r="F57" s="54">
        <f>IFERROR(__xludf.DUMMYFUNCTION("""COMPUTED_VALUE"""),0.0)</f>
        <v>0</v>
      </c>
      <c r="G57" s="55">
        <f>IFERROR(__xludf.DUMMYFUNCTION("""COMPUTED_VALUE"""),1.0)</f>
        <v>1</v>
      </c>
      <c r="H57" s="56">
        <f>IFERROR(__xludf.DUMMYFUNCTION("""COMPUTED_VALUE"""),7.46153846)</f>
        <v>7.46153846</v>
      </c>
      <c r="I57" s="61">
        <f>IFERROR(__xludf.DUMMYFUNCTION("""COMPUTED_VALUE"""),1.0)</f>
        <v>1</v>
      </c>
      <c r="J57" s="58">
        <f>IFERROR(__xludf.DUMMYFUNCTION("""COMPUTED_VALUE"""),7.0)</f>
        <v>7</v>
      </c>
      <c r="K57" s="51"/>
      <c r="L57" s="59">
        <f>IFERROR(__xludf.DUMMYFUNCTION("""COMPUTED_VALUE"""),7.0)</f>
        <v>7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IFERROR(__xludf.DUMMYFUNCTION("""COMPUTED_VALUE"""),11.0)</f>
        <v>11</v>
      </c>
      <c r="I58" s="61">
        <f>IFERROR(__xludf.DUMMYFUNCTION("""COMPUTED_VALUE"""),1.0)</f>
        <v>1</v>
      </c>
      <c r="J58" s="58">
        <f>IFERROR(__xludf.DUMMYFUNCTION("""COMPUTED_VALUE"""),10.0)</f>
        <v>10</v>
      </c>
      <c r="K58" s="51"/>
      <c r="L58" s="59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IFERROR(__xludf.DUMMYFUNCTION("""COMPUTED_VALUE"""),6.84615385)</f>
        <v>6.84615385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IFERROR(__xludf.DUMMYFUNCTION("""COMPUTED_VALUE"""),9.84615385)</f>
        <v>9.84615385</v>
      </c>
      <c r="I59" s="61">
        <f>IFERROR(__xludf.DUMMYFUNCTION("""COMPUTED_VALUE"""),2.0)</f>
        <v>2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IFERROR(__xludf.DUMMYFUNCTION("""COMPUTED_VALUE"""),11.0)</f>
        <v>11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IFERROR(__xludf.DUMMYFUNCTION("""COMPUTED_VALUE"""),6.84615385)</f>
        <v>6.84615385</v>
      </c>
      <c r="F61" s="54">
        <f>IFERROR(__xludf.DUMMYFUNCTION("""COMPUTED_VALUE"""),1.2)</f>
        <v>1.2</v>
      </c>
      <c r="G61" s="55"/>
      <c r="H61" s="56">
        <f>IFERROR(__xludf.DUMMYFUNCTION("""COMPUTED_VALUE"""),8.04615385)</f>
        <v>8.04615385</v>
      </c>
      <c r="I61" s="61">
        <f>IFERROR(__xludf.DUMMYFUNCTION("""COMPUTED_VALUE"""),1.0)</f>
        <v>1</v>
      </c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IFERROR(__xludf.DUMMYFUNCTION("""COMPUTED_VALUE"""),45.0)</f>
        <v>45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IFERROR(__xludf.DUMMYFUNCTION("""COMPUTED_VALUE"""),0.0)</f>
        <v>0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IFERROR(__xludf.DUMMYFUNCTION("""COMPUTED_VALUE"""),100.0)</f>
        <v>100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IFERROR(__xludf.DUMMYFUNCTION("""COMPUTED_VALUE"""),9.0)</f>
        <v>9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IFERROR(__xludf.DUMMYFUNCTION("IMPORTRANGE(""https://docs.google.com/spreadsheets/d/1HPE5TEKBOu3O40f04LRpHNrEE5hiGRvXPuWG9UEzjKs/edit?gid=868681460#gid=868681460"",""3-1 conciencia historica iii!a1:q85"")"),"")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IFERROR(__xludf.DUMMYFUNCTION("""COMPUTED_VALUE"""),"BENJAMÍN BALDOMERO SALAS CASAS")</f>
        <v>BENJAMÍN BALDOMERO SALAS CASAS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IFERROR(__xludf.DUMMYFUNCTION("""COMPUTED_VALUE"""),"CONCIENCIA HISTÓRICA III")</f>
        <v>CONCIENCIA HISTÓRICA III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IFERROR(__xludf.DUMMYFUNCTION("""COMPUTED_VALUE"""),6.6)</f>
        <v>6.6</v>
      </c>
      <c r="F17" s="54">
        <f>IFERROR(__xludf.DUMMYFUNCTION("""COMPUTED_VALUE"""),2.0)</f>
        <v>2</v>
      </c>
      <c r="G17" s="55"/>
      <c r="H17" s="56">
        <f>IFERROR(__xludf.DUMMYFUNCTION("""COMPUTED_VALUE"""),8.6)</f>
        <v>8.6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IFERROR(__xludf.DUMMYFUNCTION("""COMPUTED_VALUE"""),1.0)</f>
        <v>1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IFERROR(__xludf.DUMMYFUNCTION("""COMPUTED_VALUE"""),5.4)</f>
        <v>5.4</v>
      </c>
      <c r="F19" s="54">
        <f>IFERROR(__xludf.DUMMYFUNCTION("""COMPUTED_VALUE"""),1.0)</f>
        <v>1</v>
      </c>
      <c r="G19" s="55"/>
      <c r="H19" s="56">
        <f>IFERROR(__xludf.DUMMYFUNCTION("""COMPUTED_VALUE"""),6.4)</f>
        <v>6.4</v>
      </c>
      <c r="I19" s="57">
        <f>IFERROR(__xludf.DUMMYFUNCTION("""COMPUTED_VALUE"""),1.0)</f>
        <v>1</v>
      </c>
      <c r="J19" s="58">
        <f>IFERROR(__xludf.DUMMYFUNCTION("""COMPUTED_VALUE"""),6.0)</f>
        <v>6</v>
      </c>
      <c r="K19" s="51"/>
      <c r="L19" s="60">
        <f>IFERROR(__xludf.DUMMYFUNCTION("""COMPUTED_VALUE"""),6.0)</f>
        <v>6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IFERROR(__xludf.DUMMYFUNCTION("""COMPUTED_VALUE"""),7.0)</f>
        <v>7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IFERROR(__xludf.DUMMYFUNCTION("""COMPUTED_VALUE"""),10.0)</f>
        <v>10</v>
      </c>
      <c r="I20" s="57">
        <f>IFERROR(__xludf.DUMMYFUNCTION("""COMPUTED_VALUE"""),1.0)</f>
        <v>1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IFERROR(__xludf.DUMMYFUNCTION("""COMPUTED_VALUE"""),5.5)</f>
        <v>5.5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IFERROR(__xludf.DUMMYFUNCTION("""COMPUTED_VALUE"""),8.5)</f>
        <v>8.5</v>
      </c>
      <c r="I21" s="57">
        <f>IFERROR(__xludf.DUMMYFUNCTION("""COMPUTED_VALUE"""),2.0)</f>
        <v>2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IFERROR(__xludf.DUMMYFUNCTION("""COMPUTED_VALUE"""),3.9)</f>
        <v>3.9</v>
      </c>
      <c r="F22" s="54">
        <f>IFERROR(__xludf.DUMMYFUNCTION("""COMPUTED_VALUE"""),2.0)</f>
        <v>2</v>
      </c>
      <c r="G22" s="55"/>
      <c r="H22" s="56">
        <f>IFERROR(__xludf.DUMMYFUNCTION("""COMPUTED_VALUE"""),5.9)</f>
        <v>5.9</v>
      </c>
      <c r="I22" s="57">
        <f>IFERROR(__xludf.DUMMYFUNCTION("""COMPUTED_VALUE"""),2.0)</f>
        <v>2</v>
      </c>
      <c r="J22" s="58">
        <f>IFERROR(__xludf.DUMMYFUNCTION("""COMPUTED_VALUE"""),5.0)</f>
        <v>5</v>
      </c>
      <c r="K22" s="51"/>
      <c r="L22" s="60">
        <f>IFERROR(__xludf.DUMMYFUNCTION("""COMPUTED_VALUE"""),5.0)</f>
        <v>5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IFERROR(__xludf.DUMMYFUNCTION("""COMPUTED_VALUE"""),6.6)</f>
        <v>6.6</v>
      </c>
      <c r="F23" s="54">
        <f>IFERROR(__xludf.DUMMYFUNCTION("""COMPUTED_VALUE"""),2.0)</f>
        <v>2</v>
      </c>
      <c r="G23" s="55"/>
      <c r="H23" s="56">
        <f>IFERROR(__xludf.DUMMYFUNCTION("""COMPUTED_VALUE"""),8.6)</f>
        <v>8.6</v>
      </c>
      <c r="I23" s="57">
        <f>IFERROR(__xludf.DUMMYFUNCTION("""COMPUTED_VALUE"""),1.0)</f>
        <v>1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IFERROR(__xludf.DUMMYFUNCTION("""COMPUTED_VALUE"""),5.7)</f>
        <v>5.7</v>
      </c>
      <c r="F24" s="54">
        <f>IFERROR(__xludf.DUMMYFUNCTION("""COMPUTED_VALUE"""),2.0)</f>
        <v>2</v>
      </c>
      <c r="G24" s="55"/>
      <c r="H24" s="56">
        <f>IFERROR(__xludf.DUMMYFUNCTION("""COMPUTED_VALUE"""),7.7)</f>
        <v>7.7</v>
      </c>
      <c r="I24" s="57">
        <f>IFERROR(__xludf.DUMMYFUNCTION("""COMPUTED_VALUE"""),0.0)</f>
        <v>0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IFERROR(__xludf.DUMMYFUNCTION("""COMPUTED_VALUE"""),7.1)</f>
        <v>7.1</v>
      </c>
      <c r="F25" s="54">
        <f>IFERROR(__xludf.DUMMYFUNCTION("""COMPUTED_VALUE"""),2.0)</f>
        <v>2</v>
      </c>
      <c r="G25" s="55"/>
      <c r="H25" s="56">
        <f>IFERROR(__xludf.DUMMYFUNCTION("""COMPUTED_VALUE"""),9.1)</f>
        <v>9.1</v>
      </c>
      <c r="I25" s="57">
        <f>IFERROR(__xludf.DUMMYFUNCTION("""COMPUTED_VALUE"""),0.0)</f>
        <v>0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IFERROR(__xludf.DUMMYFUNCTION("""COMPUTED_VALUE"""),6.4)</f>
        <v>6.4</v>
      </c>
      <c r="F26" s="54">
        <f>IFERROR(__xludf.DUMMYFUNCTION("""COMPUTED_VALUE"""),2.0)</f>
        <v>2</v>
      </c>
      <c r="G26" s="55"/>
      <c r="H26" s="56">
        <f>IFERROR(__xludf.DUMMYFUNCTION("""COMPUTED_VALUE"""),8.4)</f>
        <v>8.4</v>
      </c>
      <c r="I26" s="57">
        <f>IFERROR(__xludf.DUMMYFUNCTION("""COMPUTED_VALUE"""),0.0)</f>
        <v>0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IFERROR(__xludf.DUMMYFUNCTION("""COMPUTED_VALUE"""),6.7)</f>
        <v>6.7</v>
      </c>
      <c r="F27" s="54">
        <f>IFERROR(__xludf.DUMMYFUNCTION("""COMPUTED_VALUE"""),2.0)</f>
        <v>2</v>
      </c>
      <c r="G27" s="55"/>
      <c r="H27" s="56">
        <f>IFERROR(__xludf.DUMMYFUNCTION("""COMPUTED_VALUE"""),8.7)</f>
        <v>8.7</v>
      </c>
      <c r="I27" s="57">
        <f>IFERROR(__xludf.DUMMYFUNCTION("""COMPUTED_VALUE"""),3.0)</f>
        <v>3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IFERROR(__xludf.DUMMYFUNCTION("""COMPUTED_VALUE"""),6.4)</f>
        <v>6.4</v>
      </c>
      <c r="F28" s="54">
        <f>IFERROR(__xludf.DUMMYFUNCTION("""COMPUTED_VALUE"""),2.0)</f>
        <v>2</v>
      </c>
      <c r="G28" s="55"/>
      <c r="H28" s="56">
        <f>IFERROR(__xludf.DUMMYFUNCTION("""COMPUTED_VALUE"""),8.4)</f>
        <v>8.4</v>
      </c>
      <c r="I28" s="57">
        <f>IFERROR(__xludf.DUMMYFUNCTION("""COMPUTED_VALUE"""),0.0)</f>
        <v>0</v>
      </c>
      <c r="J28" s="58">
        <f>IFERROR(__xludf.DUMMYFUNCTION("""COMPUTED_VALUE"""),8.0)</f>
        <v>8</v>
      </c>
      <c r="K28" s="51"/>
      <c r="L28" s="60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IFERROR(__xludf.DUMMYFUNCTION("""COMPUTED_VALUE"""),7.0)</f>
        <v>7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IFERROR(__xludf.DUMMYFUNCTION("""COMPUTED_VALUE"""),5.7)</f>
        <v>5.7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IFERROR(__xludf.DUMMYFUNCTION("""COMPUTED_VALUE"""),8.7)</f>
        <v>8.7</v>
      </c>
      <c r="I30" s="57">
        <f>IFERROR(__xludf.DUMMYFUNCTION("""COMPUTED_VALUE"""),1.0)</f>
        <v>1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IFERROR(__xludf.DUMMYFUNCTION("""COMPUTED_VALUE"""),4.8)</f>
        <v>4.8</v>
      </c>
      <c r="F31" s="54">
        <f>IFERROR(__xludf.DUMMYFUNCTION("""COMPUTED_VALUE"""),2.0)</f>
        <v>2</v>
      </c>
      <c r="G31" s="55"/>
      <c r="H31" s="56">
        <f>IFERROR(__xludf.DUMMYFUNCTION("""COMPUTED_VALUE"""),6.8)</f>
        <v>6.8</v>
      </c>
      <c r="I31" s="57">
        <f>IFERROR(__xludf.DUMMYFUNCTION("""COMPUTED_VALUE"""),4.0)</f>
        <v>4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IFERROR(__xludf.DUMMYFUNCTION("""COMPUTED_VALUE"""),7.4)</f>
        <v>7.4</v>
      </c>
      <c r="F32" s="54">
        <f>IFERROR(__xludf.DUMMYFUNCTION("""COMPUTED_VALUE"""),2.0)</f>
        <v>2</v>
      </c>
      <c r="G32" s="55"/>
      <c r="H32" s="56">
        <f>IFERROR(__xludf.DUMMYFUNCTION("""COMPUTED_VALUE"""),9.4)</f>
        <v>9.4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IFERROR(__xludf.DUMMYFUNCTION("""COMPUTED_VALUE"""),7.2)</f>
        <v>7.2</v>
      </c>
      <c r="F33" s="54">
        <f>IFERROR(__xludf.DUMMYFUNCTION("""COMPUTED_VALUE"""),2.0)</f>
        <v>2</v>
      </c>
      <c r="G33" s="55"/>
      <c r="H33" s="56">
        <f>IFERROR(__xludf.DUMMYFUNCTION("""COMPUTED_VALUE"""),9.2)</f>
        <v>9.2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IFERROR(__xludf.DUMMYFUNCTION("""COMPUTED_VALUE"""),7.2)</f>
        <v>7.2</v>
      </c>
      <c r="F34" s="54">
        <f>IFERROR(__xludf.DUMMYFUNCTION("""COMPUTED_VALUE"""),2.0)</f>
        <v>2</v>
      </c>
      <c r="G34" s="55"/>
      <c r="H34" s="56">
        <f>IFERROR(__xludf.DUMMYFUNCTION("""COMPUTED_VALUE"""),9.2)</f>
        <v>9.2</v>
      </c>
      <c r="I34" s="57">
        <f>IFERROR(__xludf.DUMMYFUNCTION("""COMPUTED_VALUE"""),2.0)</f>
        <v>2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IFERROR(__xludf.DUMMYFUNCTION("""COMPUTED_VALUE"""),6.9)</f>
        <v>6.9</v>
      </c>
      <c r="F35" s="54">
        <f>IFERROR(__xludf.DUMMYFUNCTION("""COMPUTED_VALUE"""),2.0)</f>
        <v>2</v>
      </c>
      <c r="G35" s="55"/>
      <c r="H35" s="56">
        <f>IFERROR(__xludf.DUMMYFUNCTION("""COMPUTED_VALUE"""),8.9)</f>
        <v>8.9</v>
      </c>
      <c r="I35" s="57">
        <f>IFERROR(__xludf.DUMMYFUNCTION("""COMPUTED_VALUE"""),1.0)</f>
        <v>1</v>
      </c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IFERROR(__xludf.DUMMYFUNCTION("""COMPUTED_VALUE"""),6.8)</f>
        <v>6.8</v>
      </c>
      <c r="F36" s="54">
        <f>IFERROR(__xludf.DUMMYFUNCTION("""COMPUTED_VALUE"""),2.0)</f>
        <v>2</v>
      </c>
      <c r="G36" s="55"/>
      <c r="H36" s="56">
        <f>IFERROR(__xludf.DUMMYFUNCTION("""COMPUTED_VALUE"""),8.8)</f>
        <v>8.8</v>
      </c>
      <c r="I36" s="57">
        <f>IFERROR(__xludf.DUMMYFUNCTION("""COMPUTED_VALUE"""),3.0)</f>
        <v>3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IFERROR(__xludf.DUMMYFUNCTION("""COMPUTED_VALUE"""),4.7)</f>
        <v>4.7</v>
      </c>
      <c r="F37" s="54">
        <f>IFERROR(__xludf.DUMMYFUNCTION("""COMPUTED_VALUE"""),2.0)</f>
        <v>2</v>
      </c>
      <c r="G37" s="55"/>
      <c r="H37" s="56">
        <f>IFERROR(__xludf.DUMMYFUNCTION("""COMPUTED_VALUE"""),6.7)</f>
        <v>6.7</v>
      </c>
      <c r="I37" s="57">
        <f>IFERROR(__xludf.DUMMYFUNCTION("""COMPUTED_VALUE"""),1.0)</f>
        <v>1</v>
      </c>
      <c r="J37" s="58">
        <f>IFERROR(__xludf.DUMMYFUNCTION("""COMPUTED_VALUE"""),7.0)</f>
        <v>7</v>
      </c>
      <c r="K37" s="51"/>
      <c r="L37" s="60">
        <f>IFERROR(__xludf.DUMMYFUNCTION("""COMPUTED_VALUE"""),7.0)</f>
        <v>7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IFERROR(__xludf.DUMMYFUNCTION("""COMPUTED_VALUE"""),7.6)</f>
        <v>7.6</v>
      </c>
      <c r="F38" s="54">
        <f>IFERROR(__xludf.DUMMYFUNCTION("""COMPUTED_VALUE"""),2.0)</f>
        <v>2</v>
      </c>
      <c r="G38" s="55"/>
      <c r="H38" s="56">
        <f>IFERROR(__xludf.DUMMYFUNCTION("""COMPUTED_VALUE"""),9.6)</f>
        <v>9.6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IFERROR(__xludf.DUMMYFUNCTION("""COMPUTED_VALUE"""),7.6)</f>
        <v>7.6</v>
      </c>
      <c r="F39" s="54">
        <f>IFERROR(__xludf.DUMMYFUNCTION("""COMPUTED_VALUE"""),2.0)</f>
        <v>2</v>
      </c>
      <c r="G39" s="55"/>
      <c r="H39" s="56">
        <f>IFERROR(__xludf.DUMMYFUNCTION("""COMPUTED_VALUE"""),9.6)</f>
        <v>9.6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IFERROR(__xludf.DUMMYFUNCTION("""COMPUTED_VALUE"""),6.9)</f>
        <v>6.9</v>
      </c>
      <c r="F40" s="54">
        <f>IFERROR(__xludf.DUMMYFUNCTION("""COMPUTED_VALUE"""),2.0)</f>
        <v>2</v>
      </c>
      <c r="G40" s="55"/>
      <c r="H40" s="56">
        <f>IFERROR(__xludf.DUMMYFUNCTION("""COMPUTED_VALUE"""),8.9)</f>
        <v>8.9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IFERROR(__xludf.DUMMYFUNCTION("""COMPUTED_VALUE"""),3.2)</f>
        <v>3.2</v>
      </c>
      <c r="F41" s="54">
        <f>IFERROR(__xludf.DUMMYFUNCTION("""COMPUTED_VALUE"""),0.0)</f>
        <v>0</v>
      </c>
      <c r="G41" s="55"/>
      <c r="H41" s="56">
        <f>IFERROR(__xludf.DUMMYFUNCTION("""COMPUTED_VALUE"""),3.2)</f>
        <v>3.2</v>
      </c>
      <c r="I41" s="57">
        <f>IFERROR(__xludf.DUMMYFUNCTION("""COMPUTED_VALUE"""),3.0)</f>
        <v>3</v>
      </c>
      <c r="J41" s="58">
        <f>IFERROR(__xludf.DUMMYFUNCTION("""COMPUTED_VALUE"""),5.0)</f>
        <v>5</v>
      </c>
      <c r="K41" s="51"/>
      <c r="L41" s="60">
        <f>IFERROR(__xludf.DUMMYFUNCTION("""COMPUTED_VALUE"""),3.0)</f>
        <v>3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IFERROR(__xludf.DUMMYFUNCTION("""COMPUTED_VALUE"""),4.9)</f>
        <v>4.9</v>
      </c>
      <c r="F42" s="54">
        <f>IFERROR(__xludf.DUMMYFUNCTION("""COMPUTED_VALUE"""),2.0)</f>
        <v>2</v>
      </c>
      <c r="G42" s="55"/>
      <c r="H42" s="56">
        <f>IFERROR(__xludf.DUMMYFUNCTION("""COMPUTED_VALUE"""),6.9)</f>
        <v>6.9</v>
      </c>
      <c r="I42" s="57">
        <f>IFERROR(__xludf.DUMMYFUNCTION("""COMPUTED_VALUE"""),5.0)</f>
        <v>5</v>
      </c>
      <c r="J42" s="58">
        <f>IFERROR(__xludf.DUMMYFUNCTION("""COMPUTED_VALUE"""),7.0)</f>
        <v>7</v>
      </c>
      <c r="K42" s="51"/>
      <c r="L42" s="60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IFERROR(__xludf.DUMMYFUNCTION("""COMPUTED_VALUE"""),5.2)</f>
        <v>5.2</v>
      </c>
      <c r="F43" s="54">
        <f>IFERROR(__xludf.DUMMYFUNCTION("""COMPUTED_VALUE"""),2.0)</f>
        <v>2</v>
      </c>
      <c r="G43" s="55"/>
      <c r="H43" s="56">
        <f>IFERROR(__xludf.DUMMYFUNCTION("""COMPUTED_VALUE"""),7.2)</f>
        <v>7.2</v>
      </c>
      <c r="I43" s="57">
        <f>IFERROR(__xludf.DUMMYFUNCTION("""COMPUTED_VALUE"""),1.0)</f>
        <v>1</v>
      </c>
      <c r="J43" s="58">
        <f>IFERROR(__xludf.DUMMYFUNCTION("""COMPUTED_VALUE"""),7.0)</f>
        <v>7</v>
      </c>
      <c r="K43" s="51"/>
      <c r="L43" s="60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IFERROR(__xludf.DUMMYFUNCTION("""COMPUTED_VALUE"""),7.6)</f>
        <v>7.6</v>
      </c>
      <c r="F44" s="54">
        <f>IFERROR(__xludf.DUMMYFUNCTION("""COMPUTED_VALUE"""),2.0)</f>
        <v>2</v>
      </c>
      <c r="G44" s="55"/>
      <c r="H44" s="56">
        <f>IFERROR(__xludf.DUMMYFUNCTION("""COMPUTED_VALUE"""),9.6)</f>
        <v>9.6</v>
      </c>
      <c r="I44" s="57">
        <f>IFERROR(__xludf.DUMMYFUNCTION("""COMPUTED_VALUE"""),3.0)</f>
        <v>3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IFERROR(__xludf.DUMMYFUNCTION("""COMPUTED_VALUE"""),7.0)</f>
        <v>7</v>
      </c>
      <c r="F45" s="54">
        <f>IFERROR(__xludf.DUMMYFUNCTION("""COMPUTED_VALUE"""),2.0)</f>
        <v>2</v>
      </c>
      <c r="G45" s="55"/>
      <c r="H45" s="56">
        <f>IFERROR(__xludf.DUMMYFUNCTION("""COMPUTED_VALUE"""),9.0)</f>
        <v>9</v>
      </c>
      <c r="I45" s="57">
        <f>IFERROR(__xludf.DUMMYFUNCTION("""COMPUTED_VALUE"""),2.0)</f>
        <v>2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IFERROR(__xludf.DUMMYFUNCTION("""COMPUTED_VALUE"""),6.3)</f>
        <v>6.3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IFERROR(__xludf.DUMMYFUNCTION("""COMPUTED_VALUE"""),9.3)</f>
        <v>9.3</v>
      </c>
      <c r="I46" s="57">
        <f>IFERROR(__xludf.DUMMYFUNCTION("""COMPUTED_VALUE"""),2.0)</f>
        <v>2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IFERROR(__xludf.DUMMYFUNCTION("""COMPUTED_VALUE"""),5.2)</f>
        <v>5.2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IFERROR(__xludf.DUMMYFUNCTION("""COMPUTED_VALUE"""),8.2)</f>
        <v>8.2</v>
      </c>
      <c r="I47" s="57">
        <f>IFERROR(__xludf.DUMMYFUNCTION("""COMPUTED_VALUE"""),0.0)</f>
        <v>0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IFERROR(__xludf.DUMMYFUNCTION("""COMPUTED_VALUE"""),5.0)</f>
        <v>5</v>
      </c>
      <c r="F48" s="54">
        <f>IFERROR(__xludf.DUMMYFUNCTION("""COMPUTED_VALUE"""),2.0)</f>
        <v>2</v>
      </c>
      <c r="G48" s="55"/>
      <c r="H48" s="56">
        <f>IFERROR(__xludf.DUMMYFUNCTION("""COMPUTED_VALUE"""),7.0)</f>
        <v>7</v>
      </c>
      <c r="I48" s="57">
        <f>IFERROR(__xludf.DUMMYFUNCTION("""COMPUTED_VALUE"""),0.0)</f>
        <v>0</v>
      </c>
      <c r="J48" s="58">
        <f>IFERROR(__xludf.DUMMYFUNCTION("""COMPUTED_VALUE"""),7.0)</f>
        <v>7</v>
      </c>
      <c r="K48" s="51"/>
      <c r="L48" s="60">
        <f>IFERROR(__xludf.DUMMYFUNCTION("""COMPUTED_VALUE"""),7.0)</f>
        <v>7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IFERROR(__xludf.DUMMYFUNCTION("""COMPUTED_VALUE"""),7.6)</f>
        <v>7.6</v>
      </c>
      <c r="F49" s="54">
        <f>IFERROR(__xludf.DUMMYFUNCTION("""COMPUTED_VALUE"""),2.0)</f>
        <v>2</v>
      </c>
      <c r="G49" s="55"/>
      <c r="H49" s="56">
        <f>IFERROR(__xludf.DUMMYFUNCTION("""COMPUTED_VALUE"""),9.6)</f>
        <v>9.6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IFERROR(__xludf.DUMMYFUNCTION("""COMPUTED_VALUE"""),5.8)</f>
        <v>5.8</v>
      </c>
      <c r="F50" s="54">
        <f>IFERROR(__xludf.DUMMYFUNCTION("""COMPUTED_VALUE"""),2.0)</f>
        <v>2</v>
      </c>
      <c r="G50" s="55"/>
      <c r="H50" s="56">
        <f>IFERROR(__xludf.DUMMYFUNCTION("""COMPUTED_VALUE"""),7.8)</f>
        <v>7.8</v>
      </c>
      <c r="I50" s="57">
        <f>IFERROR(__xludf.DUMMYFUNCTION("""COMPUTED_VALUE"""),5.0)</f>
        <v>5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IFERROR(__xludf.DUMMYFUNCTION("""COMPUTED_VALUE"""),4.4)</f>
        <v>4.4</v>
      </c>
      <c r="F51" s="54">
        <f>IFERROR(__xludf.DUMMYFUNCTION("""COMPUTED_VALUE"""),2.0)</f>
        <v>2</v>
      </c>
      <c r="G51" s="55"/>
      <c r="H51" s="56">
        <f>IFERROR(__xludf.DUMMYFUNCTION("""COMPUTED_VALUE"""),6.4)</f>
        <v>6.4</v>
      </c>
      <c r="I51" s="57">
        <f>IFERROR(__xludf.DUMMYFUNCTION("""COMPUTED_VALUE"""),1.0)</f>
        <v>1</v>
      </c>
      <c r="J51" s="58">
        <f>IFERROR(__xludf.DUMMYFUNCTION("""COMPUTED_VALUE"""),6.0)</f>
        <v>6</v>
      </c>
      <c r="K51" s="51"/>
      <c r="L51" s="60">
        <f>IFERROR(__xludf.DUMMYFUNCTION("""COMPUTED_VALUE"""),6.0)</f>
        <v>6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IFERROR(__xludf.DUMMYFUNCTION("""COMPUTED_VALUE"""),7.2)</f>
        <v>7.2</v>
      </c>
      <c r="F52" s="54">
        <f>IFERROR(__xludf.DUMMYFUNCTION("""COMPUTED_VALUE"""),2.0)</f>
        <v>2</v>
      </c>
      <c r="G52" s="55"/>
      <c r="H52" s="56">
        <f>IFERROR(__xludf.DUMMYFUNCTION("""COMPUTED_VALUE"""),9.2)</f>
        <v>9.2</v>
      </c>
      <c r="I52" s="57">
        <f>IFERROR(__xludf.DUMMYFUNCTION("""COMPUTED_VALUE"""),2.0)</f>
        <v>2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IFERROR(__xludf.DUMMYFUNCTION("""COMPUTED_VALUE"""),5.7)</f>
        <v>5.7</v>
      </c>
      <c r="F53" s="54">
        <f>IFERROR(__xludf.DUMMYFUNCTION("""COMPUTED_VALUE"""),2.0)</f>
        <v>2</v>
      </c>
      <c r="G53" s="55"/>
      <c r="H53" s="56">
        <f>IFERROR(__xludf.DUMMYFUNCTION("""COMPUTED_VALUE"""),7.7)</f>
        <v>7.7</v>
      </c>
      <c r="I53" s="57">
        <f>IFERROR(__xludf.DUMMYFUNCTION("""COMPUTED_VALUE"""),0.0)</f>
        <v>0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IFERROR(__xludf.DUMMYFUNCTION("""COMPUTED_VALUE"""),6.6)</f>
        <v>6.6</v>
      </c>
      <c r="F54" s="54">
        <f>IFERROR(__xludf.DUMMYFUNCTION("""COMPUTED_VALUE"""),2.0)</f>
        <v>2</v>
      </c>
      <c r="G54" s="55"/>
      <c r="H54" s="56">
        <f>IFERROR(__xludf.DUMMYFUNCTION("""COMPUTED_VALUE"""),8.6)</f>
        <v>8.6</v>
      </c>
      <c r="I54" s="57">
        <f>IFERROR(__xludf.DUMMYFUNCTION("""COMPUTED_VALUE"""),2.0)</f>
        <v>2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IFERROR(__xludf.DUMMYFUNCTION("""COMPUTED_VALUE"""),5.2)</f>
        <v>5.2</v>
      </c>
      <c r="F55" s="54">
        <f>IFERROR(__xludf.DUMMYFUNCTION("""COMPUTED_VALUE"""),2.0)</f>
        <v>2</v>
      </c>
      <c r="G55" s="55"/>
      <c r="H55" s="56">
        <f>IFERROR(__xludf.DUMMYFUNCTION("""COMPUTED_VALUE"""),7.2)</f>
        <v>7.2</v>
      </c>
      <c r="I55" s="61">
        <f>IFERROR(__xludf.DUMMYFUNCTION("""COMPUTED_VALUE"""),3.0)</f>
        <v>3</v>
      </c>
      <c r="J55" s="58">
        <f>IFERROR(__xludf.DUMMYFUNCTION("""COMPUTED_VALUE"""),7.0)</f>
        <v>7</v>
      </c>
      <c r="K55" s="51"/>
      <c r="L55" s="59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IFERROR(__xludf.DUMMYFUNCTION("""COMPUTED_VALUE"""),7.4)</f>
        <v>7.4</v>
      </c>
      <c r="F56" s="54">
        <f>IFERROR(__xludf.DUMMYFUNCTION("""COMPUTED_VALUE"""),2.0)</f>
        <v>2</v>
      </c>
      <c r="G56" s="55"/>
      <c r="H56" s="56">
        <f>IFERROR(__xludf.DUMMYFUNCTION("""COMPUTED_VALUE"""),9.4)</f>
        <v>9.4</v>
      </c>
      <c r="I56" s="61">
        <f>IFERROR(__xludf.DUMMYFUNCTION("""COMPUTED_VALUE"""),0.0)</f>
        <v>0</v>
      </c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IFERROR(__xludf.DUMMYFUNCTION("""COMPUTED_VALUE"""),5.5)</f>
        <v>5.5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IFERROR(__xludf.DUMMYFUNCTION("""COMPUTED_VALUE"""),8.5)</f>
        <v>8.5</v>
      </c>
      <c r="I57" s="61">
        <f>IFERROR(__xludf.DUMMYFUNCTION("""COMPUTED_VALUE"""),0.0)</f>
        <v>0</v>
      </c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IFERROR(__xludf.DUMMYFUNCTION("""COMPUTED_VALUE"""),6.0)</f>
        <v>6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IFERROR(__xludf.DUMMYFUNCTION("""COMPUTED_VALUE"""),9.0)</f>
        <v>9</v>
      </c>
      <c r="I58" s="61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IFERROR(__xludf.DUMMYFUNCTION("""COMPUTED_VALUE"""),7.6)</f>
        <v>7.6</v>
      </c>
      <c r="F59" s="54">
        <f>IFERROR(__xludf.DUMMYFUNCTION("""COMPUTED_VALUE"""),2.0)</f>
        <v>2</v>
      </c>
      <c r="G59" s="55"/>
      <c r="H59" s="56">
        <f>IFERROR(__xludf.DUMMYFUNCTION("""COMPUTED_VALUE"""),9.6)</f>
        <v>9.6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IFERROR(__xludf.DUMMYFUNCTION("""COMPUTED_VALUE"""),7.6)</f>
        <v>7.6</v>
      </c>
      <c r="F60" s="54">
        <f>IFERROR(__xludf.DUMMYFUNCTION("""COMPUTED_VALUE"""),2.0)</f>
        <v>2</v>
      </c>
      <c r="G60" s="55"/>
      <c r="H60" s="56">
        <f>IFERROR(__xludf.DUMMYFUNCTION("""COMPUTED_VALUE"""),9.6)</f>
        <v>9.6</v>
      </c>
      <c r="I60" s="61">
        <f>IFERROR(__xludf.DUMMYFUNCTION("""COMPUTED_VALUE"""),1.0)</f>
        <v>1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IFERROR(__xludf.DUMMYFUNCTION("""COMPUTED_VALUE"""),6.7)</f>
        <v>6.7</v>
      </c>
      <c r="F61" s="54">
        <f>IFERROR(__xludf.DUMMYFUNCTION("""COMPUTED_VALUE"""),2.0)</f>
        <v>2</v>
      </c>
      <c r="G61" s="55"/>
      <c r="H61" s="56">
        <f>IFERROR(__xludf.DUMMYFUNCTION("""COMPUTED_VALUE"""),8.7)</f>
        <v>8.7</v>
      </c>
      <c r="I61" s="61">
        <f>IFERROR(__xludf.DUMMYFUNCTION("""COMPUTED_VALUE"""),0.0)</f>
        <v>0</v>
      </c>
      <c r="J61" s="58">
        <f>IFERROR(__xludf.DUMMYFUNCTION("""COMPUTED_VALUE"""),9.0)</f>
        <v>9</v>
      </c>
      <c r="K61" s="51"/>
      <c r="L61" s="59">
        <f>IFERROR(__xludf.DUMMYFUNCTION("""COMPUTED_VALUE"""),9.0)</f>
        <v>9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IFERROR(__xludf.DUMMYFUNCTION("""COMPUTED_VALUE"""),43.0)</f>
        <v>43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IFERROR(__xludf.DUMMYFUNCTION("""COMPUTED_VALUE"""),2.0)</f>
        <v>2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IFERROR(__xludf.DUMMYFUNCTION("""COMPUTED_VALUE"""),95.55555555555556)</f>
        <v>95.55555556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IFERROR(__xludf.DUMMYFUNCTION("""COMPUTED_VALUE"""),8.488888888888889)</f>
        <v>8.488888889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IFERROR(__xludf.DUMMYFUNCTION("IMPORTRANGE(""https://docs.google.com/spreadsheets/d/1Suc2qopRVVxybDoozbhYI-3fnXdSLY03Ab-qquDqzzQ/edit?gid=1167236978#gid=1167236978"",""3-1 organismos!a1:q85"")"),"")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IFERROR(__xludf.DUMMYFUNCTION("""COMPUTED_VALUE"""),"LINARES FLORES ARACELI")</f>
        <v>LINARES FLORES ARACELI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IFERROR(__xludf.DUMMYFUNCTION("""COMPUTED_VALUE"""),"ORGANISMOS")</f>
        <v>ORGANISMOS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IFERROR(__xludf.DUMMYFUNCTION("""COMPUTED_VALUE"""),4.0)</f>
        <v>4</v>
      </c>
      <c r="F17" s="54">
        <f>IFERROR(__xludf.DUMMYFUNCTION("""COMPUTED_VALUE"""),2.0)</f>
        <v>2</v>
      </c>
      <c r="G17" s="55"/>
      <c r="H17" s="56">
        <f>IFERROR(__xludf.DUMMYFUNCTION("""COMPUTED_VALUE"""),6.0)</f>
        <v>6</v>
      </c>
      <c r="I17" s="57">
        <f>IFERROR(__xludf.DUMMYFUNCTION("""COMPUTED_VALUE"""),0.0)</f>
        <v>0</v>
      </c>
      <c r="J17" s="58">
        <f>IFERROR(__xludf.DUMMYFUNCTION("""COMPUTED_VALUE"""),6.0)</f>
        <v>6</v>
      </c>
      <c r="K17" s="59"/>
      <c r="L17" s="60">
        <f>IFERROR(__xludf.DUMMYFUNCTION("""COMPUTED_VALUE"""),6.0)</f>
        <v>6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>
        <f>IFERROR(__xludf.DUMMYFUNCTION("""COMPUTED_VALUE"""),1.0)</f>
        <v>1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IFERROR(__xludf.DUMMYFUNCTION("""COMPUTED_VALUE"""),10.0)</f>
        <v>10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IFERROR(__xludf.DUMMYFUNCTION("""COMPUTED_VALUE"""),5.0)</f>
        <v>5</v>
      </c>
      <c r="F19" s="54">
        <f>IFERROR(__xludf.DUMMYFUNCTION("""COMPUTED_VALUE"""),2.0)</f>
        <v>2</v>
      </c>
      <c r="G19" s="55"/>
      <c r="H19" s="56">
        <f>IFERROR(__xludf.DUMMYFUNCTION("""COMPUTED_VALUE"""),7.0)</f>
        <v>7</v>
      </c>
      <c r="I19" s="57">
        <f>IFERROR(__xludf.DUMMYFUNCTION("""COMPUTED_VALUE"""),2.0)</f>
        <v>2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IFERROR(__xludf.DUMMYFUNCTION("""COMPUTED_VALUE"""),14.0)</f>
        <v>14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IFERROR(__xludf.DUMMYFUNCTION("""COMPUTED_VALUE"""),9.0)</f>
        <v>9</v>
      </c>
      <c r="I20" s="57">
        <f>IFERROR(__xludf.DUMMYFUNCTION("""COMPUTED_VALUE"""),1.0)</f>
        <v>1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IFERROR(__xludf.DUMMYFUNCTION("""COMPUTED_VALUE"""),6.0)</f>
        <v>6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IFERROR(__xludf.DUMMYFUNCTION("""COMPUTED_VALUE"""),9.0)</f>
        <v>9</v>
      </c>
      <c r="I21" s="57">
        <f>IFERROR(__xludf.DUMMYFUNCTION("""COMPUTED_VALUE"""),0.0)</f>
        <v>0</v>
      </c>
      <c r="J21" s="58">
        <f>IFERROR(__xludf.DUMMYFUNCTION("""COMPUTED_VALUE"""),9.0)</f>
        <v>9</v>
      </c>
      <c r="K21" s="51"/>
      <c r="L21" s="60">
        <f>IFERROR(__xludf.DUMMYFUNCTION("""COMPUTED_VALUE"""),9.0)</f>
        <v>9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/>
      <c r="H22" s="56">
        <f>IFERROR(__xludf.DUMMYFUNCTION("""COMPUTED_VALUE"""),8.0)</f>
        <v>8</v>
      </c>
      <c r="I22" s="57">
        <f>IFERROR(__xludf.DUMMYFUNCTION("""COMPUTED_VALUE"""),1.0)</f>
        <v>1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IFERROR(__xludf.DUMMYFUNCTION("""COMPUTED_VALUE"""),5.0)</f>
        <v>5</v>
      </c>
      <c r="F23" s="54">
        <f>IFERROR(__xludf.DUMMYFUNCTION("""COMPUTED_VALUE"""),2.0)</f>
        <v>2</v>
      </c>
      <c r="G23" s="55"/>
      <c r="H23" s="56">
        <f>IFERROR(__xludf.DUMMYFUNCTION("""COMPUTED_VALUE"""),7.0)</f>
        <v>7</v>
      </c>
      <c r="I23" s="57">
        <f>IFERROR(__xludf.DUMMYFUNCTION("""COMPUTED_VALUE"""),1.0)</f>
        <v>1</v>
      </c>
      <c r="J23" s="58">
        <f>IFERROR(__xludf.DUMMYFUNCTION("""COMPUTED_VALUE"""),7.0)</f>
        <v>7</v>
      </c>
      <c r="K23" s="51"/>
      <c r="L23" s="60">
        <f>IFERROR(__xludf.DUMMYFUNCTION("""COMPUTED_VALUE"""),7.0)</f>
        <v>7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IFERROR(__xludf.DUMMYFUNCTION("""COMPUTED_VALUE"""),5.0)</f>
        <v>5</v>
      </c>
      <c r="F24" s="54">
        <f>IFERROR(__xludf.DUMMYFUNCTION("""COMPUTED_VALUE"""),2.0)</f>
        <v>2</v>
      </c>
      <c r="G24" s="55"/>
      <c r="H24" s="56">
        <f>IFERROR(__xludf.DUMMYFUNCTION("""COMPUTED_VALUE"""),7.0)</f>
        <v>7</v>
      </c>
      <c r="I24" s="57">
        <f>IFERROR(__xludf.DUMMYFUNCTION("""COMPUTED_VALUE"""),0.0)</f>
        <v>0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/>
      <c r="H25" s="56">
        <f>IFERROR(__xludf.DUMMYFUNCTION("""COMPUTED_VALUE"""),9.0)</f>
        <v>9</v>
      </c>
      <c r="I25" s="57">
        <f>IFERROR(__xludf.DUMMYFUNCTION("""COMPUTED_VALUE"""),0.0)</f>
        <v>0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IFERROR(__xludf.DUMMYFUNCTION("""COMPUTED_VALUE"""),1.0)</f>
        <v>1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IFERROR(__xludf.DUMMYFUNCTION("""COMPUTED_VALUE"""),5.0)</f>
        <v>5</v>
      </c>
      <c r="F27" s="54">
        <f>IFERROR(__xludf.DUMMYFUNCTION("""COMPUTED_VALUE"""),2.0)</f>
        <v>2</v>
      </c>
      <c r="G27" s="55"/>
      <c r="H27" s="56">
        <f>IFERROR(__xludf.DUMMYFUNCTION("""COMPUTED_VALUE"""),7.0)</f>
        <v>7</v>
      </c>
      <c r="I27" s="57">
        <f>IFERROR(__xludf.DUMMYFUNCTION("""COMPUTED_VALUE"""),1.0)</f>
        <v>1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/>
      <c r="H28" s="56">
        <f>IFERROR(__xludf.DUMMYFUNCTION("""COMPUTED_VALUE"""),9.0)</f>
        <v>9</v>
      </c>
      <c r="I28" s="57">
        <f>IFERROR(__xludf.DUMMYFUNCTION("""COMPUTED_VALUE"""),0.0)</f>
        <v>0</v>
      </c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IFERROR(__xludf.DUMMYFUNCTION("""COMPUTED_VALUE"""),6.0)</f>
        <v>6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IFERROR(__xludf.DUMMYFUNCTION("""COMPUTED_VALUE"""),9.0)</f>
        <v>9</v>
      </c>
      <c r="I29" s="57">
        <f>IFERROR(__xludf.DUMMYFUNCTION("""COMPUTED_VALUE"""),0.0)</f>
        <v>0</v>
      </c>
      <c r="J29" s="58">
        <f>IFERROR(__xludf.DUMMYFUNCTION("""COMPUTED_VALUE"""),9.0)</f>
        <v>9</v>
      </c>
      <c r="K29" s="51"/>
      <c r="L29" s="60">
        <f>IFERROR(__xludf.DUMMYFUNCTION("""COMPUTED_VALUE"""),9.0)</f>
        <v>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IFERROR(__xludf.DUMMYFUNCTION("""COMPUTED_VALUE"""),7.0)</f>
        <v>7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IFERROR(__xludf.DUMMYFUNCTION("""COMPUTED_VALUE"""),10.0)</f>
        <v>10</v>
      </c>
      <c r="I30" s="57">
        <f>IFERROR(__xludf.DUMMYFUNCTION("""COMPUTED_VALUE"""),1.0)</f>
        <v>1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IFERROR(__xludf.DUMMYFUNCTION("""COMPUTED_VALUE"""),3.0)</f>
        <v>3</v>
      </c>
      <c r="F31" s="54">
        <f>IFERROR(__xludf.DUMMYFUNCTION("""COMPUTED_VALUE"""),2.0)</f>
        <v>2</v>
      </c>
      <c r="G31" s="55"/>
      <c r="H31" s="56">
        <f>IFERROR(__xludf.DUMMYFUNCTION("""COMPUTED_VALUE"""),5.0)</f>
        <v>5</v>
      </c>
      <c r="I31" s="57">
        <f>IFERROR(__xludf.DUMMYFUNCTION("""COMPUTED_VALUE"""),2.0)</f>
        <v>2</v>
      </c>
      <c r="J31" s="58">
        <f>IFERROR(__xludf.DUMMYFUNCTION("""COMPUTED_VALUE"""),5.0)</f>
        <v>5</v>
      </c>
      <c r="K31" s="51"/>
      <c r="L31" s="60">
        <f>IFERROR(__xludf.DUMMYFUNCTION("""COMPUTED_VALUE"""),5.0)</f>
        <v>5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IFERROR(__xludf.DUMMYFUNCTION("""COMPUTED_VALUE"""),7.0)</f>
        <v>7</v>
      </c>
      <c r="F34" s="54">
        <f>IFERROR(__xludf.DUMMYFUNCTION("""COMPUTED_VALUE"""),2.0)</f>
        <v>2</v>
      </c>
      <c r="G34" s="55"/>
      <c r="H34" s="56">
        <f>IFERROR(__xludf.DUMMYFUNCTION("""COMPUTED_VALUE"""),9.0)</f>
        <v>9</v>
      </c>
      <c r="I34" s="57">
        <f>IFERROR(__xludf.DUMMYFUNCTION("""COMPUTED_VALUE"""),1.0)</f>
        <v>1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IFERROR(__xludf.DUMMYFUNCTION("""COMPUTED_VALUE"""),5.0)</f>
        <v>5</v>
      </c>
      <c r="F35" s="54">
        <f>IFERROR(__xludf.DUMMYFUNCTION("""COMPUTED_VALUE"""),2.0)</f>
        <v>2</v>
      </c>
      <c r="G35" s="55"/>
      <c r="H35" s="56">
        <f>IFERROR(__xludf.DUMMYFUNCTION("""COMPUTED_VALUE"""),7.0)</f>
        <v>7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IFERROR(__xludf.DUMMYFUNCTION("""COMPUTED_VALUE"""),6.0)</f>
        <v>6</v>
      </c>
      <c r="F36" s="54">
        <f>IFERROR(__xludf.DUMMYFUNCTION("""COMPUTED_VALUE"""),2.0)</f>
        <v>2</v>
      </c>
      <c r="G36" s="55"/>
      <c r="H36" s="56">
        <f>IFERROR(__xludf.DUMMYFUNCTION("""COMPUTED_VALUE"""),8.0)</f>
        <v>8</v>
      </c>
      <c r="I36" s="57">
        <f>IFERROR(__xludf.DUMMYFUNCTION("""COMPUTED_VALUE"""),2.0)</f>
        <v>2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>
        <f>IFERROR(__xludf.DUMMYFUNCTION("""COMPUTED_VALUE"""),0.0)</f>
        <v>0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IFERROR(__xludf.DUMMYFUNCTION("""COMPUTED_VALUE"""),5.0)</f>
        <v>5</v>
      </c>
      <c r="F38" s="54">
        <f>IFERROR(__xludf.DUMMYFUNCTION("""COMPUTED_VALUE"""),2.0)</f>
        <v>2</v>
      </c>
      <c r="G38" s="55"/>
      <c r="H38" s="56">
        <f>IFERROR(__xludf.DUMMYFUNCTION("""COMPUTED_VALUE"""),7.0)</f>
        <v>7</v>
      </c>
      <c r="I38" s="57">
        <f>IFERROR(__xludf.DUMMYFUNCTION("""COMPUTED_VALUE"""),0.0)</f>
        <v>0</v>
      </c>
      <c r="J38" s="58">
        <f>IFERROR(__xludf.DUMMYFUNCTION("""COMPUTED_VALUE"""),7.0)</f>
        <v>7</v>
      </c>
      <c r="K38" s="51"/>
      <c r="L38" s="60">
        <f>IFERROR(__xludf.DUMMYFUNCTION("""COMPUTED_VALUE"""),7.0)</f>
        <v>7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IFERROR(__xludf.DUMMYFUNCTION("""COMPUTED_VALUE"""),6.0)</f>
        <v>6</v>
      </c>
      <c r="F39" s="54">
        <f>IFERROR(__xludf.DUMMYFUNCTION("""COMPUTED_VALUE"""),2.0)</f>
        <v>2</v>
      </c>
      <c r="G39" s="55"/>
      <c r="H39" s="56">
        <f>IFERROR(__xludf.DUMMYFUNCTION("""COMPUTED_VALUE"""),8.0)</f>
        <v>8</v>
      </c>
      <c r="I39" s="57">
        <f>IFERROR(__xludf.DUMMYFUNCTION("""COMPUTED_VALUE"""),1.0)</f>
        <v>1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IFERROR(__xludf.DUMMYFUNCTION("""COMPUTED_VALUE"""),7.0)</f>
        <v>7</v>
      </c>
      <c r="F40" s="54">
        <f>IFERROR(__xludf.DUMMYFUNCTION("""COMPUTED_VALUE"""),2.0)</f>
        <v>2</v>
      </c>
      <c r="G40" s="55"/>
      <c r="H40" s="56">
        <f>IFERROR(__xludf.DUMMYFUNCTION("""COMPUTED_VALUE"""),9.0)</f>
        <v>9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IFERROR(__xludf.DUMMYFUNCTION("""COMPUTED_VALUE"""),3.0)</f>
        <v>3</v>
      </c>
      <c r="F41" s="54">
        <f>IFERROR(__xludf.DUMMYFUNCTION("""COMPUTED_VALUE"""),2.0)</f>
        <v>2</v>
      </c>
      <c r="G41" s="55"/>
      <c r="H41" s="56">
        <f>IFERROR(__xludf.DUMMYFUNCTION("""COMPUTED_VALUE"""),5.0)</f>
        <v>5</v>
      </c>
      <c r="I41" s="57">
        <f>IFERROR(__xludf.DUMMYFUNCTION("""COMPUTED_VALUE"""),0.0)</f>
        <v>0</v>
      </c>
      <c r="J41" s="58">
        <f>IFERROR(__xludf.DUMMYFUNCTION("""COMPUTED_VALUE"""),5.0)</f>
        <v>5</v>
      </c>
      <c r="K41" s="51"/>
      <c r="L41" s="60">
        <f>IFERROR(__xludf.DUMMYFUNCTION("""COMPUTED_VALUE"""),5.0)</f>
        <v>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IFERROR(__xludf.DUMMYFUNCTION("""COMPUTED_VALUE"""),5.0)</f>
        <v>5</v>
      </c>
      <c r="F42" s="54">
        <f>IFERROR(__xludf.DUMMYFUNCTION("""COMPUTED_VALUE"""),2.0)</f>
        <v>2</v>
      </c>
      <c r="G42" s="55"/>
      <c r="H42" s="56">
        <f>IFERROR(__xludf.DUMMYFUNCTION("""COMPUTED_VALUE"""),7.0)</f>
        <v>7</v>
      </c>
      <c r="I42" s="57">
        <f>IFERROR(__xludf.DUMMYFUNCTION("""COMPUTED_VALUE"""),0.0)</f>
        <v>0</v>
      </c>
      <c r="J42" s="58">
        <f>IFERROR(__xludf.DUMMYFUNCTION("""COMPUTED_VALUE"""),7.0)</f>
        <v>7</v>
      </c>
      <c r="K42" s="51"/>
      <c r="L42" s="60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IFERROR(__xludf.DUMMYFUNCTION("""COMPUTED_VALUE"""),4.0)</f>
        <v>4</v>
      </c>
      <c r="F43" s="54">
        <f>IFERROR(__xludf.DUMMYFUNCTION("""COMPUTED_VALUE"""),2.0)</f>
        <v>2</v>
      </c>
      <c r="G43" s="55"/>
      <c r="H43" s="56">
        <f>IFERROR(__xludf.DUMMYFUNCTION("""COMPUTED_VALUE"""),6.0)</f>
        <v>6</v>
      </c>
      <c r="I43" s="57">
        <f>IFERROR(__xludf.DUMMYFUNCTION("""COMPUTED_VALUE"""),2.0)</f>
        <v>2</v>
      </c>
      <c r="J43" s="58">
        <f>IFERROR(__xludf.DUMMYFUNCTION("""COMPUTED_VALUE"""),6.0)</f>
        <v>6</v>
      </c>
      <c r="K43" s="51"/>
      <c r="L43" s="60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IFERROR(__xludf.DUMMYFUNCTION("""COMPUTED_VALUE"""),5.0)</f>
        <v>5</v>
      </c>
      <c r="F44" s="54">
        <f>IFERROR(__xludf.DUMMYFUNCTION("""COMPUTED_VALUE"""),2.0)</f>
        <v>2</v>
      </c>
      <c r="G44" s="55"/>
      <c r="H44" s="56">
        <f>IFERROR(__xludf.DUMMYFUNCTION("""COMPUTED_VALUE"""),7.0)</f>
        <v>7</v>
      </c>
      <c r="I44" s="57">
        <f>IFERROR(__xludf.DUMMYFUNCTION("""COMPUTED_VALUE"""),0.0)</f>
        <v>0</v>
      </c>
      <c r="J44" s="58">
        <f>IFERROR(__xludf.DUMMYFUNCTION("""COMPUTED_VALUE"""),7.0)</f>
        <v>7</v>
      </c>
      <c r="K44" s="51"/>
      <c r="L44" s="60">
        <f>IFERROR(__xludf.DUMMYFUNCTION("""COMPUTED_VALUE"""),7.0)</f>
        <v>7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IFERROR(__xludf.DUMMYFUNCTION("""COMPUTED_VALUE"""),6.0)</f>
        <v>6</v>
      </c>
      <c r="F45" s="54">
        <f>IFERROR(__xludf.DUMMYFUNCTION("""COMPUTED_VALUE"""),2.0)</f>
        <v>2</v>
      </c>
      <c r="G45" s="55"/>
      <c r="H45" s="56">
        <f>IFERROR(__xludf.DUMMYFUNCTION("""COMPUTED_VALUE"""),8.0)</f>
        <v>8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IFERROR(__xludf.DUMMYFUNCTION("""COMPUTED_VALUE"""),7.0)</f>
        <v>7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IFERROR(__xludf.DUMMYFUNCTION("""COMPUTED_VALUE"""),7.0)</f>
        <v>7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IFERROR(__xludf.DUMMYFUNCTION("""COMPUTED_VALUE"""),8.0)</f>
        <v>8</v>
      </c>
      <c r="F48" s="54">
        <f>IFERROR(__xludf.DUMMYFUNCTION("""COMPUTED_VALUE"""),2.0)</f>
        <v>2</v>
      </c>
      <c r="G48" s="55"/>
      <c r="H48" s="56">
        <f>IFERROR(__xludf.DUMMYFUNCTION("""COMPUTED_VALUE"""),10.0)</f>
        <v>10</v>
      </c>
      <c r="I48" s="57">
        <f>IFERROR(__xludf.DUMMYFUNCTION("""COMPUTED_VALUE"""),2.0)</f>
        <v>2</v>
      </c>
      <c r="J48" s="58">
        <f>IFERROR(__xludf.DUMMYFUNCTION("""COMPUTED_VALUE"""),10.0)</f>
        <v>10</v>
      </c>
      <c r="K48" s="51"/>
      <c r="L48" s="60">
        <f>IFERROR(__xludf.DUMMYFUNCTION("""COMPUTED_VALUE"""),10.0)</f>
        <v>10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IFERROR(__xludf.DUMMYFUNCTION("""COMPUTED_VALUE"""),5.0)</f>
        <v>5</v>
      </c>
      <c r="F49" s="54">
        <f>IFERROR(__xludf.DUMMYFUNCTION("""COMPUTED_VALUE"""),2.0)</f>
        <v>2</v>
      </c>
      <c r="G49" s="55"/>
      <c r="H49" s="56">
        <f>IFERROR(__xludf.DUMMYFUNCTION("""COMPUTED_VALUE"""),7.0)</f>
        <v>7</v>
      </c>
      <c r="I49" s="57">
        <f>IFERROR(__xludf.DUMMYFUNCTION("""COMPUTED_VALUE"""),0.0)</f>
        <v>0</v>
      </c>
      <c r="J49" s="58">
        <f>IFERROR(__xludf.DUMMYFUNCTION("""COMPUTED_VALUE"""),7.0)</f>
        <v>7</v>
      </c>
      <c r="K49" s="51"/>
      <c r="L49" s="60">
        <f>IFERROR(__xludf.DUMMYFUNCTION("""COMPUTED_VALUE"""),7.0)</f>
        <v>7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IFERROR(__xludf.DUMMYFUNCTION("""COMPUTED_VALUE"""),8.0)</f>
        <v>8</v>
      </c>
      <c r="F50" s="54">
        <f>IFERROR(__xludf.DUMMYFUNCTION("""COMPUTED_VALUE"""),2.0)</f>
        <v>2</v>
      </c>
      <c r="G50" s="55"/>
      <c r="H50" s="56">
        <f>IFERROR(__xludf.DUMMYFUNCTION("""COMPUTED_VALUE"""),10.0)</f>
        <v>10</v>
      </c>
      <c r="I50" s="57">
        <f>IFERROR(__xludf.DUMMYFUNCTION("""COMPUTED_VALUE"""),1.0)</f>
        <v>1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IFERROR(__xludf.DUMMYFUNCTION("""COMPUTED_VALUE"""),7.0)</f>
        <v>7</v>
      </c>
      <c r="F51" s="54">
        <f>IFERROR(__xludf.DUMMYFUNCTION("""COMPUTED_VALUE"""),2.0)</f>
        <v>2</v>
      </c>
      <c r="G51" s="55"/>
      <c r="H51" s="56">
        <f>IFERROR(__xludf.DUMMYFUNCTION("""COMPUTED_VALUE"""),9.0)</f>
        <v>9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IFERROR(__xludf.DUMMYFUNCTION("""COMPUTED_VALUE"""),4.0)</f>
        <v>4</v>
      </c>
      <c r="F52" s="54">
        <f>IFERROR(__xludf.DUMMYFUNCTION("""COMPUTED_VALUE"""),2.0)</f>
        <v>2</v>
      </c>
      <c r="G52" s="55"/>
      <c r="H52" s="56">
        <f>IFERROR(__xludf.DUMMYFUNCTION("""COMPUTED_VALUE"""),6.0)</f>
        <v>6</v>
      </c>
      <c r="I52" s="57">
        <f>IFERROR(__xludf.DUMMYFUNCTION("""COMPUTED_VALUE"""),1.0)</f>
        <v>1</v>
      </c>
      <c r="J52" s="58">
        <f>IFERROR(__xludf.DUMMYFUNCTION("""COMPUTED_VALUE"""),6.0)</f>
        <v>6</v>
      </c>
      <c r="K52" s="51"/>
      <c r="L52" s="59">
        <f>IFERROR(__xludf.DUMMYFUNCTION("""COMPUTED_VALUE"""),6.0)</f>
        <v>6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IFERROR(__xludf.DUMMYFUNCTION("""COMPUTED_VALUE"""),7.0)</f>
        <v>7</v>
      </c>
      <c r="F53" s="54">
        <f>IFERROR(__xludf.DUMMYFUNCTION("""COMPUTED_VALUE"""),2.0)</f>
        <v>2</v>
      </c>
      <c r="G53" s="55"/>
      <c r="H53" s="56">
        <f>IFERROR(__xludf.DUMMYFUNCTION("""COMPUTED_VALUE"""),9.0)</f>
        <v>9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IFERROR(__xludf.DUMMYFUNCTION("""COMPUTED_VALUE"""),4.0)</f>
        <v>4</v>
      </c>
      <c r="F55" s="54">
        <f>IFERROR(__xludf.DUMMYFUNCTION("""COMPUTED_VALUE"""),2.0)</f>
        <v>2</v>
      </c>
      <c r="G55" s="55"/>
      <c r="H55" s="56">
        <f>IFERROR(__xludf.DUMMYFUNCTION("""COMPUTED_VALUE"""),6.0)</f>
        <v>6</v>
      </c>
      <c r="I55" s="61">
        <f>IFERROR(__xludf.DUMMYFUNCTION("""COMPUTED_VALUE"""),1.0)</f>
        <v>1</v>
      </c>
      <c r="J55" s="58">
        <f>IFERROR(__xludf.DUMMYFUNCTION("""COMPUTED_VALUE"""),6.0)</f>
        <v>6</v>
      </c>
      <c r="K55" s="51"/>
      <c r="L55" s="59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IFERROR(__xludf.DUMMYFUNCTION("""COMPUTED_VALUE"""),5.0)</f>
        <v>5</v>
      </c>
      <c r="F56" s="54">
        <f>IFERROR(__xludf.DUMMYFUNCTION("""COMPUTED_VALUE"""),2.0)</f>
        <v>2</v>
      </c>
      <c r="G56" s="55"/>
      <c r="H56" s="56">
        <f>IFERROR(__xludf.DUMMYFUNCTION("""COMPUTED_VALUE"""),7.0)</f>
        <v>7</v>
      </c>
      <c r="I56" s="61">
        <f>IFERROR(__xludf.DUMMYFUNCTION("""COMPUTED_VALUE"""),2.0)</f>
        <v>2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IFERROR(__xludf.DUMMYFUNCTION("""COMPUTED_VALUE"""),5.0)</f>
        <v>5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IFERROR(__xludf.DUMMYFUNCTION("""COMPUTED_VALUE"""),8.0)</f>
        <v>8</v>
      </c>
      <c r="I57" s="61">
        <f>IFERROR(__xludf.DUMMYFUNCTION("""COMPUTED_VALUE"""),2.0)</f>
        <v>2</v>
      </c>
      <c r="J57" s="58">
        <f>IFERROR(__xludf.DUMMYFUNCTION("""COMPUTED_VALUE"""),8.0)</f>
        <v>8</v>
      </c>
      <c r="K57" s="51"/>
      <c r="L57" s="59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IFERROR(__xludf.DUMMYFUNCTION("""COMPUTED_VALUE"""),7.0)</f>
        <v>7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IFERROR(__xludf.DUMMYFUNCTION("""COMPUTED_VALUE"""),10.0)</f>
        <v>10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IFERROR(__xludf.DUMMYFUNCTION("""COMPUTED_VALUE"""),4.0)</f>
        <v>4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IFERROR(__xludf.DUMMYFUNCTION("""COMPUTED_VALUE"""),7.0)</f>
        <v>7</v>
      </c>
      <c r="I59" s="61">
        <f>IFERROR(__xludf.DUMMYFUNCTION("""COMPUTED_VALUE"""),2.0)</f>
        <v>2</v>
      </c>
      <c r="J59" s="58">
        <f>IFERROR(__xludf.DUMMYFUNCTION("""COMPUTED_VALUE"""),7.0)</f>
        <v>7</v>
      </c>
      <c r="K59" s="51"/>
      <c r="L59" s="59">
        <f>IFERROR(__xludf.DUMMYFUNCTION("""COMPUTED_VALUE"""),7.0)</f>
        <v>7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IFERROR(__xludf.DUMMYFUNCTION("""COMPUTED_VALUE"""),7.0)</f>
        <v>7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IFERROR(__xludf.DUMMYFUNCTION("""COMPUTED_VALUE"""),3.0)</f>
        <v>3</v>
      </c>
      <c r="F61" s="54">
        <f>IFERROR(__xludf.DUMMYFUNCTION("""COMPUTED_VALUE"""),2.0)</f>
        <v>2</v>
      </c>
      <c r="G61" s="55"/>
      <c r="H61" s="56">
        <f>IFERROR(__xludf.DUMMYFUNCTION("""COMPUTED_VALUE"""),5.0)</f>
        <v>5</v>
      </c>
      <c r="I61" s="61">
        <f>IFERROR(__xludf.DUMMYFUNCTION("""COMPUTED_VALUE"""),1.0)</f>
        <v>1</v>
      </c>
      <c r="J61" s="58">
        <f>IFERROR(__xludf.DUMMYFUNCTION("""COMPUTED_VALUE"""),5.0)</f>
        <v>5</v>
      </c>
      <c r="K61" s="51"/>
      <c r="L61" s="59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IFERROR(__xludf.DUMMYFUNCTION("""COMPUTED_VALUE"""),42.0)</f>
        <v>42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IFERROR(__xludf.DUMMYFUNCTION("""COMPUTED_VALUE"""),3.0)</f>
        <v>3</v>
      </c>
      <c r="E67" s="65"/>
      <c r="F67" s="113" t="str">
        <f>IFERROR(__xludf.DUMMYFUNCTION("""COMPUTED_VALUE"""),"LINARES FLORES ARACELI")</f>
        <v>LINARES FLORES ARACELI</v>
      </c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IFERROR(__xludf.DUMMYFUNCTION("""COMPUTED_VALUE"""),93.33333333333333)</f>
        <v>93.33333333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IFERROR(__xludf.DUMMYFUNCTION("""COMPUTED_VALUE"""),8.022222222222222)</f>
        <v>8.022222222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IFERROR(__xludf.DUMMYFUNCTION("IMPORTRANGE(""https://docs.google.com/spreadsheets/d/1JN-Bgrlfyfzw7VNqCUaWjs5m5sp0aei6ImLfNoI2niw/edit?gid=868681460#gid=868681460"",""3-1 temas selectos de filosofia!a1:q85"")"),"")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IFERROR(__xludf.DUMMYFUNCTION("""COMPUTED_VALUE"""),"YUSSEF GALLEGOS TAPIA ")</f>
        <v>YUSSEF GALLEGOS TAPIA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FILOSOFÍA")</f>
        <v>TEMAS SELECTOS DE FILOSOFÍA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IFERROR(__xludf.DUMMYFUNCTION("""COMPUTED_VALUE"""),5.6)</f>
        <v>5.6</v>
      </c>
      <c r="F17" s="54">
        <f>IFERROR(__xludf.DUMMYFUNCTION("""COMPUTED_VALUE"""),2.0)</f>
        <v>2</v>
      </c>
      <c r="G17" s="55"/>
      <c r="H17" s="56">
        <f>IFERROR(__xludf.DUMMYFUNCTION("""COMPUTED_VALUE"""),7.6)</f>
        <v>7.6</v>
      </c>
      <c r="I17" s="57">
        <f>IFERROR(__xludf.DUMMYFUNCTION("""COMPUTED_VALUE"""),0.0)</f>
        <v>0</v>
      </c>
      <c r="J17" s="58">
        <f>IFERROR(__xludf.DUMMYFUNCTION("""COMPUTED_VALUE"""),8.0)</f>
        <v>8</v>
      </c>
      <c r="K17" s="59"/>
      <c r="L17" s="60">
        <f>IFERROR(__xludf.DUMMYFUNCTION("""COMPUTED_VALUE"""),8.0)</f>
        <v>8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IFERROR(__xludf.DUMMYFUNCTION("""COMPUTED_VALUE"""),6.5)</f>
        <v>6.5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IFERROR(__xludf.DUMMYFUNCTION("""COMPUTED_VALUE"""),9.5)</f>
        <v>9.5</v>
      </c>
      <c r="I18" s="57">
        <f>IFERROR(__xludf.DUMMYFUNCTION("""COMPUTED_VALUE"""),1.0)</f>
        <v>1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IFERROR(__xludf.DUMMYFUNCTION("""COMPUTED_VALUE"""),5.8)</f>
        <v>5.8</v>
      </c>
      <c r="F19" s="54">
        <f>IFERROR(__xludf.DUMMYFUNCTION("""COMPUTED_VALUE"""),1.6)</f>
        <v>1.6</v>
      </c>
      <c r="G19" s="55"/>
      <c r="H19" s="56">
        <f>IFERROR(__xludf.DUMMYFUNCTION("""COMPUTED_VALUE"""),7.4)</f>
        <v>7.4</v>
      </c>
      <c r="I19" s="57">
        <f>IFERROR(__xludf.DUMMYFUNCTION("""COMPUTED_VALUE"""),2.0)</f>
        <v>2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IFERROR(__xludf.DUMMYFUNCTION("""COMPUTED_VALUE"""),15.0)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IFERROR(__xludf.DUMMYFUNCTION("""COMPUTED_VALUE"""),3.8)</f>
        <v>3.8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IFERROR(__xludf.DUMMYFUNCTION("""COMPUTED_VALUE"""),6.8)</f>
        <v>6.8</v>
      </c>
      <c r="I20" s="57">
        <f>IFERROR(__xludf.DUMMYFUNCTION("""COMPUTED_VALUE"""),1.0)</f>
        <v>1</v>
      </c>
      <c r="J20" s="58">
        <f>IFERROR(__xludf.DUMMYFUNCTION("""COMPUTED_VALUE"""),7.0)</f>
        <v>7</v>
      </c>
      <c r="K20" s="51"/>
      <c r="L20" s="60">
        <f>IFERROR(__xludf.DUMMYFUNCTION("""COMPUTED_VALUE"""),7.0)</f>
        <v>7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IFERROR(__xludf.DUMMYFUNCTION("""COMPUTED_VALUE"""),4.5)</f>
        <v>4.5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IFERROR(__xludf.DUMMYFUNCTION("""COMPUTED_VALUE"""),7.5)</f>
        <v>7.5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IFERROR(__xludf.DUMMYFUNCTION("""COMPUTED_VALUE"""),3.0)</f>
        <v>3</v>
      </c>
      <c r="F22" s="54">
        <f>IFERROR(__xludf.DUMMYFUNCTION("""COMPUTED_VALUE"""),0.0)</f>
        <v>0</v>
      </c>
      <c r="G22" s="55"/>
      <c r="H22" s="56">
        <f>IFERROR(__xludf.DUMMYFUNCTION("""COMPUTED_VALUE"""),3.0)</f>
        <v>3</v>
      </c>
      <c r="I22" s="57">
        <f>IFERROR(__xludf.DUMMYFUNCTION("""COMPUTED_VALUE"""),1.0)</f>
        <v>1</v>
      </c>
      <c r="J22" s="58">
        <f>IFERROR(__xludf.DUMMYFUNCTION("""COMPUTED_VALUE"""),5.0)</f>
        <v>5</v>
      </c>
      <c r="K22" s="51"/>
      <c r="L22" s="60">
        <f>IFERROR(__xludf.DUMMYFUNCTION("""COMPUTED_VALUE"""),3.0)</f>
        <v>3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IFERROR(__xludf.DUMMYFUNCTION("""COMPUTED_VALUE"""),5.5)</f>
        <v>5.5</v>
      </c>
      <c r="F23" s="54">
        <f>IFERROR(__xludf.DUMMYFUNCTION("""COMPUTED_VALUE"""),2.0)</f>
        <v>2</v>
      </c>
      <c r="G23" s="55"/>
      <c r="H23" s="56">
        <f>IFERROR(__xludf.DUMMYFUNCTION("""COMPUTED_VALUE"""),7.5)</f>
        <v>7.5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IFERROR(__xludf.DUMMYFUNCTION("""COMPUTED_VALUE"""),1.9)</f>
        <v>1.9</v>
      </c>
      <c r="F24" s="54">
        <f>IFERROR(__xludf.DUMMYFUNCTION("""COMPUTED_VALUE"""),1.8)</f>
        <v>1.8</v>
      </c>
      <c r="G24" s="55"/>
      <c r="H24" s="56">
        <f>IFERROR(__xludf.DUMMYFUNCTION("""COMPUTED_VALUE"""),3.7)</f>
        <v>3.7</v>
      </c>
      <c r="I24" s="57">
        <f>IFERROR(__xludf.DUMMYFUNCTION("""COMPUTED_VALUE"""),1.0)</f>
        <v>1</v>
      </c>
      <c r="J24" s="58">
        <f>IFERROR(__xludf.DUMMYFUNCTION("""COMPUTED_VALUE"""),5.0)</f>
        <v>5</v>
      </c>
      <c r="K24" s="51"/>
      <c r="L24" s="60">
        <f>IFERROR(__xludf.DUMMYFUNCTION("""COMPUTED_VALUE"""),3.0)</f>
        <v>3</v>
      </c>
      <c r="M24" s="1" t="str">
        <f>IFERROR(__xludf.DUMMYFUNCTION("""COMPUTED_VALUE"""),"TOTAL")</f>
        <v>TOTAL</v>
      </c>
      <c r="N24" s="1">
        <f>IFERROR(__xludf.DUMMYFUNCTION("""COMPUTED_VALUE"""),21.0)</f>
        <v>21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IFERROR(__xludf.DUMMYFUNCTION("""COMPUTED_VALUE"""),6.3)</f>
        <v>6.3</v>
      </c>
      <c r="F25" s="54">
        <f>IFERROR(__xludf.DUMMYFUNCTION("""COMPUTED_VALUE"""),0.0)</f>
        <v>0</v>
      </c>
      <c r="G25" s="55"/>
      <c r="H25" s="56">
        <f>IFERROR(__xludf.DUMMYFUNCTION("""COMPUTED_VALUE"""),6.3)</f>
        <v>6.3</v>
      </c>
      <c r="I25" s="57">
        <f>IFERROR(__xludf.DUMMYFUNCTION("""COMPUTED_VALUE"""),0.0)</f>
        <v>0</v>
      </c>
      <c r="J25" s="58">
        <f>IFERROR(__xludf.DUMMYFUNCTION("""COMPUTED_VALUE"""),6.0)</f>
        <v>6</v>
      </c>
      <c r="K25" s="51"/>
      <c r="L25" s="60">
        <f>IFERROR(__xludf.DUMMYFUNCTION("""COMPUTED_VALUE"""),6.0)</f>
        <v>6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IFERROR(__xludf.DUMMYFUNCTION("""COMPUTED_VALUE"""),6.2)</f>
        <v>6.2</v>
      </c>
      <c r="F26" s="54">
        <f>IFERROR(__xludf.DUMMYFUNCTION("""COMPUTED_VALUE"""),1.9)</f>
        <v>1.9</v>
      </c>
      <c r="G26" s="55">
        <f>IFERROR(__xludf.DUMMYFUNCTION("""COMPUTED_VALUE"""),0.3)</f>
        <v>0.3</v>
      </c>
      <c r="H26" s="56">
        <f>IFERROR(__xludf.DUMMYFUNCTION("""COMPUTED_VALUE"""),8.4)</f>
        <v>8.4</v>
      </c>
      <c r="I26" s="57">
        <f>IFERROR(__xludf.DUMMYFUNCTION("""COMPUTED_VALUE"""),0.0)</f>
        <v>0</v>
      </c>
      <c r="J26" s="58">
        <f>IFERROR(__xludf.DUMMYFUNCTION("""COMPUTED_VALUE"""),8.0)</f>
        <v>8</v>
      </c>
      <c r="K26" s="51"/>
      <c r="L26" s="60">
        <f>IFERROR(__xludf.DUMMYFUNCTION("""COMPUTED_VALUE"""),8.0)</f>
        <v>8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IFERROR(__xludf.DUMMYFUNCTION("""COMPUTED_VALUE"""),5.9)</f>
        <v>5.9</v>
      </c>
      <c r="F27" s="54">
        <f>IFERROR(__xludf.DUMMYFUNCTION("""COMPUTED_VALUE"""),0.0)</f>
        <v>0</v>
      </c>
      <c r="G27" s="55"/>
      <c r="H27" s="56">
        <f>IFERROR(__xludf.DUMMYFUNCTION("""COMPUTED_VALUE"""),5.9)</f>
        <v>5.9</v>
      </c>
      <c r="I27" s="57">
        <f>IFERROR(__xludf.DUMMYFUNCTION("""COMPUTED_VALUE"""),0.0)</f>
        <v>0</v>
      </c>
      <c r="J27" s="58">
        <f>IFERROR(__xludf.DUMMYFUNCTION("""COMPUTED_VALUE"""),5.0)</f>
        <v>5</v>
      </c>
      <c r="K27" s="51"/>
      <c r="L27" s="60">
        <f>IFERROR(__xludf.DUMMYFUNCTION("""COMPUTED_VALUE"""),5.0)</f>
        <v>5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IFERROR(__xludf.DUMMYFUNCTION("""COMPUTED_VALUE"""),6.3)</f>
        <v>6.3</v>
      </c>
      <c r="F28" s="54">
        <f>IFERROR(__xludf.DUMMYFUNCTION("""COMPUTED_VALUE"""),2.0)</f>
        <v>2</v>
      </c>
      <c r="G28" s="55"/>
      <c r="H28" s="56">
        <f>IFERROR(__xludf.DUMMYFUNCTION("""COMPUTED_VALUE"""),8.3)</f>
        <v>8.3</v>
      </c>
      <c r="I28" s="57">
        <f>IFERROR(__xludf.DUMMYFUNCTION("""COMPUTED_VALUE"""),0.0)</f>
        <v>0</v>
      </c>
      <c r="J28" s="58">
        <f>IFERROR(__xludf.DUMMYFUNCTION("""COMPUTED_VALUE"""),8.0)</f>
        <v>8</v>
      </c>
      <c r="K28" s="51"/>
      <c r="L28" s="60">
        <f>IFERROR(__xludf.DUMMYFUNCTION("""COMPUTED_VALUE"""),8.0)</f>
        <v>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IFERROR(__xludf.DUMMYFUNCTION("""COMPUTED_VALUE"""),7.2)</f>
        <v>7.2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IFERROR(__xludf.DUMMYFUNCTION("""COMPUTED_VALUE"""),10.2)</f>
        <v>10.2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IFERROR(__xludf.DUMMYFUNCTION("""COMPUTED_VALUE"""),7.4)</f>
        <v>7.4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IFERROR(__xludf.DUMMYFUNCTION("""COMPUTED_VALUE"""),10.4)</f>
        <v>10.4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IFERROR(__xludf.DUMMYFUNCTION("""COMPUTED_VALUE"""),1.0)</f>
        <v>1</v>
      </c>
      <c r="F31" s="54">
        <f>IFERROR(__xludf.DUMMYFUNCTION("""COMPUTED_VALUE"""),0.0)</f>
        <v>0</v>
      </c>
      <c r="G31" s="55"/>
      <c r="H31" s="56">
        <f>IFERROR(__xludf.DUMMYFUNCTION("""COMPUTED_VALUE"""),1.0)</f>
        <v>1</v>
      </c>
      <c r="I31" s="57">
        <f>IFERROR(__xludf.DUMMYFUNCTION("""COMPUTED_VALUE"""),3.0)</f>
        <v>3</v>
      </c>
      <c r="J31" s="58">
        <f>IFERROR(__xludf.DUMMYFUNCTION("""COMPUTED_VALUE"""),5.0)</f>
        <v>5</v>
      </c>
      <c r="K31" s="51"/>
      <c r="L31" s="60">
        <f>IFERROR(__xludf.DUMMYFUNCTION("""COMPUTED_VALUE"""),1.0)</f>
        <v>1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IFERROR(__xludf.DUMMYFUNCTION("""COMPUTED_VALUE"""),7.1)</f>
        <v>7.1</v>
      </c>
      <c r="F32" s="54">
        <f>IFERROR(__xludf.DUMMYFUNCTION("""COMPUTED_VALUE"""),2.0)</f>
        <v>2</v>
      </c>
      <c r="G32" s="55"/>
      <c r="H32" s="56">
        <f>IFERROR(__xludf.DUMMYFUNCTION("""COMPUTED_VALUE"""),9.1)</f>
        <v>9.1</v>
      </c>
      <c r="I32" s="57">
        <f>IFERROR(__xludf.DUMMYFUNCTION("""COMPUTED_VALUE"""),1.0)</f>
        <v>1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IFERROR(__xludf.DUMMYFUNCTION("""COMPUTED_VALUE"""),6.8)</f>
        <v>6.8</v>
      </c>
      <c r="F33" s="54">
        <f>IFERROR(__xludf.DUMMYFUNCTION("""COMPUTED_VALUE"""),2.0)</f>
        <v>2</v>
      </c>
      <c r="G33" s="55"/>
      <c r="H33" s="56">
        <f>IFERROR(__xludf.DUMMYFUNCTION("""COMPUTED_VALUE"""),8.8)</f>
        <v>8.8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IFERROR(__xludf.DUMMYFUNCTION("""COMPUTED_VALUE"""),7.4)</f>
        <v>7.4</v>
      </c>
      <c r="F34" s="54">
        <f>IFERROR(__xludf.DUMMYFUNCTION("""COMPUTED_VALUE"""),2.0)</f>
        <v>2</v>
      </c>
      <c r="G34" s="55">
        <f>IFERROR(__xludf.DUMMYFUNCTION("""COMPUTED_VALUE"""),0.1)</f>
        <v>0.1</v>
      </c>
      <c r="H34" s="56">
        <f>IFERROR(__xludf.DUMMYFUNCTION("""COMPUTED_VALUE"""),9.5)</f>
        <v>9.5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IFERROR(__xludf.DUMMYFUNCTION("""COMPUTED_VALUE"""),6.4)</f>
        <v>6.4</v>
      </c>
      <c r="F35" s="54">
        <f>IFERROR(__xludf.DUMMYFUNCTION("""COMPUTED_VALUE"""),2.0)</f>
        <v>2</v>
      </c>
      <c r="G35" s="55"/>
      <c r="H35" s="56">
        <f>IFERROR(__xludf.DUMMYFUNCTION("""COMPUTED_VALUE"""),8.4)</f>
        <v>8.4</v>
      </c>
      <c r="I35" s="57">
        <f>IFERROR(__xludf.DUMMYFUNCTION("""COMPUTED_VALUE"""),1.0)</f>
        <v>1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IFERROR(__xludf.DUMMYFUNCTION("""COMPUTED_VALUE"""),7.1)</f>
        <v>7.1</v>
      </c>
      <c r="F36" s="54">
        <f>IFERROR(__xludf.DUMMYFUNCTION("""COMPUTED_VALUE"""),2.0)</f>
        <v>2</v>
      </c>
      <c r="G36" s="55">
        <f>IFERROR(__xludf.DUMMYFUNCTION("""COMPUTED_VALUE"""),0.1)</f>
        <v>0.1</v>
      </c>
      <c r="H36" s="56">
        <f>IFERROR(__xludf.DUMMYFUNCTION("""COMPUTED_VALUE"""),9.2)</f>
        <v>9.2</v>
      </c>
      <c r="I36" s="57">
        <f>IFERROR(__xludf.DUMMYFUNCTION("""COMPUTED_VALUE"""),0.0)</f>
        <v>0</v>
      </c>
      <c r="J36" s="58">
        <f>IFERROR(__xludf.DUMMYFUNCTION("""COMPUTED_VALUE"""),9.0)</f>
        <v>9</v>
      </c>
      <c r="K36" s="51"/>
      <c r="L36" s="60">
        <f>IFERROR(__xludf.DUMMYFUNCTION("""COMPUTED_VALUE"""),9.0)</f>
        <v>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IFERROR(__xludf.DUMMYFUNCTION("""COMPUTED_VALUE"""),6.1)</f>
        <v>6.1</v>
      </c>
      <c r="F37" s="54">
        <f>IFERROR(__xludf.DUMMYFUNCTION("""COMPUTED_VALUE"""),2.0)</f>
        <v>2</v>
      </c>
      <c r="G37" s="55">
        <f>IFERROR(__xludf.DUMMYFUNCTION("""COMPUTED_VALUE"""),0.1)</f>
        <v>0.1</v>
      </c>
      <c r="H37" s="56">
        <f>IFERROR(__xludf.DUMMYFUNCTION("""COMPUTED_VALUE"""),8.2)</f>
        <v>8.2</v>
      </c>
      <c r="I37" s="57">
        <f>IFERROR(__xludf.DUMMYFUNCTION("""COMPUTED_VALUE"""),0.0)</f>
        <v>0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IFERROR(__xludf.DUMMYFUNCTION("""COMPUTED_VALUE"""),5.9)</f>
        <v>5.9</v>
      </c>
      <c r="F38" s="54">
        <f>IFERROR(__xludf.DUMMYFUNCTION("""COMPUTED_VALUE"""),1.9)</f>
        <v>1.9</v>
      </c>
      <c r="G38" s="55"/>
      <c r="H38" s="56">
        <f>IFERROR(__xludf.DUMMYFUNCTION("""COMPUTED_VALUE"""),7.800000000000001)</f>
        <v>7.8</v>
      </c>
      <c r="I38" s="57">
        <f>IFERROR(__xludf.DUMMYFUNCTION("""COMPUTED_VALUE"""),1.0)</f>
        <v>1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IFERROR(__xludf.DUMMYFUNCTION("""COMPUTED_VALUE"""),5.9)</f>
        <v>5.9</v>
      </c>
      <c r="F39" s="54">
        <f>IFERROR(__xludf.DUMMYFUNCTION("""COMPUTED_VALUE"""),2.0)</f>
        <v>2</v>
      </c>
      <c r="G39" s="55"/>
      <c r="H39" s="56">
        <f>IFERROR(__xludf.DUMMYFUNCTION("""COMPUTED_VALUE"""),7.9)</f>
        <v>7.9</v>
      </c>
      <c r="I39" s="57">
        <f>IFERROR(__xludf.DUMMYFUNCTION("""COMPUTED_VALUE"""),0.0)</f>
        <v>0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IFERROR(__xludf.DUMMYFUNCTION("""COMPUTED_VALUE"""),7.4)</f>
        <v>7.4</v>
      </c>
      <c r="F40" s="54">
        <f>IFERROR(__xludf.DUMMYFUNCTION("""COMPUTED_VALUE"""),2.0)</f>
        <v>2</v>
      </c>
      <c r="G40" s="55"/>
      <c r="H40" s="56">
        <f>IFERROR(__xludf.DUMMYFUNCTION("""COMPUTED_VALUE"""),9.4)</f>
        <v>9.4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IFERROR(__xludf.DUMMYFUNCTION("""COMPUTED_VALUE"""),2.3)</f>
        <v>2.3</v>
      </c>
      <c r="F41" s="54">
        <f>IFERROR(__xludf.DUMMYFUNCTION("""COMPUTED_VALUE"""),0.0)</f>
        <v>0</v>
      </c>
      <c r="G41" s="55"/>
      <c r="H41" s="56">
        <f>IFERROR(__xludf.DUMMYFUNCTION("""COMPUTED_VALUE"""),2.3)</f>
        <v>2.3</v>
      </c>
      <c r="I41" s="57">
        <f>IFERROR(__xludf.DUMMYFUNCTION("""COMPUTED_VALUE"""),1.0)</f>
        <v>1</v>
      </c>
      <c r="J41" s="58">
        <f>IFERROR(__xludf.DUMMYFUNCTION("""COMPUTED_VALUE"""),5.0)</f>
        <v>5</v>
      </c>
      <c r="K41" s="51"/>
      <c r="L41" s="60">
        <f>IFERROR(__xludf.DUMMYFUNCTION("""COMPUTED_VALUE"""),2.0)</f>
        <v>2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IFERROR(__xludf.DUMMYFUNCTION("""COMPUTED_VALUE"""),5.5)</f>
        <v>5.5</v>
      </c>
      <c r="F42" s="54">
        <f>IFERROR(__xludf.DUMMYFUNCTION("""COMPUTED_VALUE"""),0.0)</f>
        <v>0</v>
      </c>
      <c r="G42" s="55"/>
      <c r="H42" s="56">
        <f>IFERROR(__xludf.DUMMYFUNCTION("""COMPUTED_VALUE"""),5.5)</f>
        <v>5.5</v>
      </c>
      <c r="I42" s="57">
        <f>IFERROR(__xludf.DUMMYFUNCTION("""COMPUTED_VALUE"""),1.0)</f>
        <v>1</v>
      </c>
      <c r="J42" s="58">
        <f>IFERROR(__xludf.DUMMYFUNCTION("""COMPUTED_VALUE"""),5.0)</f>
        <v>5</v>
      </c>
      <c r="K42" s="51"/>
      <c r="L42" s="60">
        <f>IFERROR(__xludf.DUMMYFUNCTION("""COMPUTED_VALUE"""),5.0)</f>
        <v>5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IFERROR(__xludf.DUMMYFUNCTION("""COMPUTED_VALUE"""),4.2)</f>
        <v>4.2</v>
      </c>
      <c r="F43" s="54">
        <f>IFERROR(__xludf.DUMMYFUNCTION("""COMPUTED_VALUE"""),2.0)</f>
        <v>2</v>
      </c>
      <c r="G43" s="55"/>
      <c r="H43" s="56">
        <f>IFERROR(__xludf.DUMMYFUNCTION("""COMPUTED_VALUE"""),6.2)</f>
        <v>6.2</v>
      </c>
      <c r="I43" s="57">
        <f>IFERROR(__xludf.DUMMYFUNCTION("""COMPUTED_VALUE"""),0.0)</f>
        <v>0</v>
      </c>
      <c r="J43" s="58">
        <f>IFERROR(__xludf.DUMMYFUNCTION("""COMPUTED_VALUE"""),6.0)</f>
        <v>6</v>
      </c>
      <c r="K43" s="51"/>
      <c r="L43" s="60">
        <f>IFERROR(__xludf.DUMMYFUNCTION("""COMPUTED_VALUE"""),6.0)</f>
        <v>6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IFERROR(__xludf.DUMMYFUNCTION("""COMPUTED_VALUE"""),7.2)</f>
        <v>7.2</v>
      </c>
      <c r="F44" s="54">
        <f>IFERROR(__xludf.DUMMYFUNCTION("""COMPUTED_VALUE"""),2.0)</f>
        <v>2</v>
      </c>
      <c r="G44" s="55"/>
      <c r="H44" s="56">
        <f>IFERROR(__xludf.DUMMYFUNCTION("""COMPUTED_VALUE"""),9.2)</f>
        <v>9.2</v>
      </c>
      <c r="I44" s="57">
        <f>IFERROR(__xludf.DUMMYFUNCTION("""COMPUTED_VALUE"""),1.0)</f>
        <v>1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IFERROR(__xludf.DUMMYFUNCTION("""COMPUTED_VALUE"""),7.2)</f>
        <v>7.2</v>
      </c>
      <c r="F45" s="54"/>
      <c r="G45" s="55">
        <f>IFERROR(__xludf.DUMMYFUNCTION("""COMPUTED_VALUE"""),0.1)</f>
        <v>0.1</v>
      </c>
      <c r="H45" s="56">
        <f>IFERROR(__xludf.DUMMYFUNCTION("""COMPUTED_VALUE"""),7.3)</f>
        <v>7.3</v>
      </c>
      <c r="I45" s="57">
        <f>IFERROR(__xludf.DUMMYFUNCTION("""COMPUTED_VALUE"""),0.0)</f>
        <v>0</v>
      </c>
      <c r="J45" s="58">
        <f>IFERROR(__xludf.DUMMYFUNCTION("""COMPUTED_VALUE"""),7.0)</f>
        <v>7</v>
      </c>
      <c r="K45" s="51"/>
      <c r="L45" s="60">
        <f>IFERROR(__xludf.DUMMYFUNCTION("""COMPUTED_VALUE"""),7.0)</f>
        <v>7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IFERROR(__xludf.DUMMYFUNCTION("""COMPUTED_VALUE"""),6.9)</f>
        <v>6.9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IFERROR(__xludf.DUMMYFUNCTION("""COMPUTED_VALUE"""),9.9)</f>
        <v>9.9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IFERROR(__xludf.DUMMYFUNCTION("""COMPUTED_VALUE"""),5.8)</f>
        <v>5.8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IFERROR(__xludf.DUMMYFUNCTION("""COMPUTED_VALUE"""),8.8)</f>
        <v>8.8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IFERROR(__xludf.DUMMYFUNCTION("""COMPUTED_VALUE"""),6.5)</f>
        <v>6.5</v>
      </c>
      <c r="F48" s="54">
        <f>IFERROR(__xludf.DUMMYFUNCTION("""COMPUTED_VALUE"""),1.8)</f>
        <v>1.8</v>
      </c>
      <c r="G48" s="55"/>
      <c r="H48" s="56">
        <f>IFERROR(__xludf.DUMMYFUNCTION("""COMPUTED_VALUE"""),8.3)</f>
        <v>8.3</v>
      </c>
      <c r="I48" s="57">
        <f>IFERROR(__xludf.DUMMYFUNCTION("""COMPUTED_VALUE"""),0.0)</f>
        <v>0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IFERROR(__xludf.DUMMYFUNCTION("""COMPUTED_VALUE"""),7.1)</f>
        <v>7.1</v>
      </c>
      <c r="F49" s="54">
        <f>IFERROR(__xludf.DUMMYFUNCTION("""COMPUTED_VALUE"""),1.7)</f>
        <v>1.7</v>
      </c>
      <c r="G49" s="55"/>
      <c r="H49" s="56">
        <f>IFERROR(__xludf.DUMMYFUNCTION("""COMPUTED_VALUE"""),8.799999999999999)</f>
        <v>8.8</v>
      </c>
      <c r="I49" s="57">
        <f>IFERROR(__xludf.DUMMYFUNCTION("""COMPUTED_VALUE"""),0.0)</f>
        <v>0</v>
      </c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IFERROR(__xludf.DUMMYFUNCTION("""COMPUTED_VALUE"""),4.8)</f>
        <v>4.8</v>
      </c>
      <c r="F50" s="54">
        <f>IFERROR(__xludf.DUMMYFUNCTION("""COMPUTED_VALUE"""),2.0)</f>
        <v>2</v>
      </c>
      <c r="G50" s="55"/>
      <c r="H50" s="56">
        <f>IFERROR(__xludf.DUMMYFUNCTION("""COMPUTED_VALUE"""),6.8)</f>
        <v>6.8</v>
      </c>
      <c r="I50" s="57">
        <f>IFERROR(__xludf.DUMMYFUNCTION("""COMPUTED_VALUE"""),0.0)</f>
        <v>0</v>
      </c>
      <c r="J50" s="58">
        <f>IFERROR(__xludf.DUMMYFUNCTION("""COMPUTED_VALUE"""),7.0)</f>
        <v>7</v>
      </c>
      <c r="K50" s="51"/>
      <c r="L50" s="60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IFERROR(__xludf.DUMMYFUNCTION("""COMPUTED_VALUE"""),6.8)</f>
        <v>6.8</v>
      </c>
      <c r="F51" s="54">
        <f>IFERROR(__xludf.DUMMYFUNCTION("""COMPUTED_VALUE"""),1.9)</f>
        <v>1.9</v>
      </c>
      <c r="G51" s="55"/>
      <c r="H51" s="56">
        <f>IFERROR(__xludf.DUMMYFUNCTION("""COMPUTED_VALUE"""),8.7)</f>
        <v>8.7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IFERROR(__xludf.DUMMYFUNCTION("""COMPUTED_VALUE"""),6.4)</f>
        <v>6.4</v>
      </c>
      <c r="F52" s="54">
        <f>IFERROR(__xludf.DUMMYFUNCTION("""COMPUTED_VALUE"""),0.0)</f>
        <v>0</v>
      </c>
      <c r="G52" s="55">
        <f>IFERROR(__xludf.DUMMYFUNCTION("""COMPUTED_VALUE"""),0.1)</f>
        <v>0.1</v>
      </c>
      <c r="H52" s="56">
        <f>IFERROR(__xludf.DUMMYFUNCTION("""COMPUTED_VALUE"""),6.5)</f>
        <v>6.5</v>
      </c>
      <c r="I52" s="57">
        <f>IFERROR(__xludf.DUMMYFUNCTION("""COMPUTED_VALUE"""),1.0)</f>
        <v>1</v>
      </c>
      <c r="J52" s="58">
        <f>IFERROR(__xludf.DUMMYFUNCTION("""COMPUTED_VALUE"""),7.0)</f>
        <v>7</v>
      </c>
      <c r="K52" s="51"/>
      <c r="L52" s="59">
        <f>IFERROR(__xludf.DUMMYFUNCTION("""COMPUTED_VALUE"""),7.0)</f>
        <v>7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IFERROR(__xludf.DUMMYFUNCTION("""COMPUTED_VALUE"""),7.1)</f>
        <v>7.1</v>
      </c>
      <c r="F53" s="54">
        <f>IFERROR(__xludf.DUMMYFUNCTION("""COMPUTED_VALUE"""),2.0)</f>
        <v>2</v>
      </c>
      <c r="G53" s="55"/>
      <c r="H53" s="56">
        <f>IFERROR(__xludf.DUMMYFUNCTION("""COMPUTED_VALUE"""),9.1)</f>
        <v>9.1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IFERROR(__xludf.DUMMYFUNCTION("""COMPUTED_VALUE"""),5.9)</f>
        <v>5.9</v>
      </c>
      <c r="F54" s="54">
        <f>IFERROR(__xludf.DUMMYFUNCTION("""COMPUTED_VALUE"""),2.0)</f>
        <v>2</v>
      </c>
      <c r="G54" s="55"/>
      <c r="H54" s="56">
        <f>IFERROR(__xludf.DUMMYFUNCTION("""COMPUTED_VALUE"""),7.9)</f>
        <v>7.9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IFERROR(__xludf.DUMMYFUNCTION("""COMPUTED_VALUE"""),5.9)</f>
        <v>5.9</v>
      </c>
      <c r="F55" s="54">
        <f>IFERROR(__xludf.DUMMYFUNCTION("""COMPUTED_VALUE"""),2.0)</f>
        <v>2</v>
      </c>
      <c r="G55" s="55"/>
      <c r="H55" s="56">
        <f>IFERROR(__xludf.DUMMYFUNCTION("""COMPUTED_VALUE"""),7.9)</f>
        <v>7.9</v>
      </c>
      <c r="I55" s="61">
        <f>IFERROR(__xludf.DUMMYFUNCTION("""COMPUTED_VALUE"""),1.0)</f>
        <v>1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IFERROR(__xludf.DUMMYFUNCTION("""COMPUTED_VALUE"""),7.4)</f>
        <v>7.4</v>
      </c>
      <c r="F56" s="54">
        <f>IFERROR(__xludf.DUMMYFUNCTION("""COMPUTED_VALUE"""),1.6)</f>
        <v>1.6</v>
      </c>
      <c r="G56" s="55">
        <f>IFERROR(__xludf.DUMMYFUNCTION("""COMPUTED_VALUE"""),0.3)</f>
        <v>0.3</v>
      </c>
      <c r="H56" s="56">
        <f>IFERROR(__xludf.DUMMYFUNCTION("""COMPUTED_VALUE"""),9.3)</f>
        <v>9.3</v>
      </c>
      <c r="I56" s="61">
        <f>IFERROR(__xludf.DUMMYFUNCTION("""COMPUTED_VALUE"""),0.0)</f>
        <v>0</v>
      </c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IFERROR(__xludf.DUMMYFUNCTION("""COMPUTED_VALUE"""),7.1)</f>
        <v>7.1</v>
      </c>
      <c r="F57" s="54">
        <f>IFERROR(__xludf.DUMMYFUNCTION("""COMPUTED_VALUE"""),0.0)</f>
        <v>0</v>
      </c>
      <c r="G57" s="55">
        <f>IFERROR(__xludf.DUMMYFUNCTION("""COMPUTED_VALUE"""),1.2)</f>
        <v>1.2</v>
      </c>
      <c r="H57" s="56">
        <f>IFERROR(__xludf.DUMMYFUNCTION("""COMPUTED_VALUE"""),8.299999999999999)</f>
        <v>8.3</v>
      </c>
      <c r="I57" s="61">
        <f>IFERROR(__xludf.DUMMYFUNCTION("""COMPUTED_VALUE"""),0.0)</f>
        <v>0</v>
      </c>
      <c r="J57" s="58">
        <f>IFERROR(__xludf.DUMMYFUNCTION("""COMPUTED_VALUE"""),8.0)</f>
        <v>8</v>
      </c>
      <c r="K57" s="51"/>
      <c r="L57" s="59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IFERROR(__xludf.DUMMYFUNCTION("""COMPUTED_VALUE"""),6.5)</f>
        <v>6.5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IFERROR(__xludf.DUMMYFUNCTION("""COMPUTED_VALUE"""),9.5)</f>
        <v>9.5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IFERROR(__xludf.DUMMYFUNCTION("""COMPUTED_VALUE"""),6.9)</f>
        <v>6.9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IFERROR(__xludf.DUMMYFUNCTION("""COMPUTED_VALUE"""),9.9)</f>
        <v>9.9</v>
      </c>
      <c r="I59" s="61">
        <f>IFERROR(__xludf.DUMMYFUNCTION("""COMPUTED_VALUE"""),1.0)</f>
        <v>1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IFERROR(__xludf.DUMMYFUNCTION("""COMPUTED_VALUE"""),6.6)</f>
        <v>6.6</v>
      </c>
      <c r="F60" s="54">
        <f>IFERROR(__xludf.DUMMYFUNCTION("""COMPUTED_VALUE"""),2.0)</f>
        <v>2</v>
      </c>
      <c r="G60" s="55">
        <f>IFERROR(__xludf.DUMMYFUNCTION("""COMPUTED_VALUE"""),1.2)</f>
        <v>1.2</v>
      </c>
      <c r="H60" s="56">
        <f>IFERROR(__xludf.DUMMYFUNCTION("""COMPUTED_VALUE"""),9.799999999999999)</f>
        <v>9.8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IFERROR(__xludf.DUMMYFUNCTION("""COMPUTED_VALUE"""),5.3)</f>
        <v>5.3</v>
      </c>
      <c r="F61" s="54">
        <f>IFERROR(__xludf.DUMMYFUNCTION("""COMPUTED_VALUE"""),1.9)</f>
        <v>1.9</v>
      </c>
      <c r="G61" s="55"/>
      <c r="H61" s="56">
        <f>IFERROR(__xludf.DUMMYFUNCTION("""COMPUTED_VALUE"""),7.199999999999999)</f>
        <v>7.2</v>
      </c>
      <c r="I61" s="61">
        <f>IFERROR(__xludf.DUMMYFUNCTION("""COMPUTED_VALUE"""),0.0)</f>
        <v>0</v>
      </c>
      <c r="J61" s="58">
        <f>IFERROR(__xludf.DUMMYFUNCTION("""COMPUTED_VALUE"""),7.0)</f>
        <v>7</v>
      </c>
      <c r="K61" s="51"/>
      <c r="L61" s="59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IFERROR(__xludf.DUMMYFUNCTION("""COMPUTED_VALUE"""),39.0)</f>
        <v>39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IFERROR(__xludf.DUMMYFUNCTION("""COMPUTED_VALUE"""),6.0)</f>
        <v>6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IFERROR(__xludf.DUMMYFUNCTION("""COMPUTED_VALUE"""),86.66666666666667)</f>
        <v>86.66666667</v>
      </c>
      <c r="E68" s="65"/>
      <c r="F68" s="89" t="str">
        <f>IFERROR(__xludf.DUMMYFUNCTION("""COMPUTED_VALUE"""),"PROFR. YUSSEF GALLEGOS TAPIA ")</f>
        <v>PROFR. YUSSEF GALLEGOS TAPIA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IFERROR(__xludf.DUMMYFUNCTION("""COMPUTED_VALUE"""),7.955555555555556)</f>
        <v>7.955555556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IFERROR(__xludf.DUMMYFUNCTION("IMPORTRANGE(""https://docs.google.com/spreadsheets/d/1fKGazNVpBpa9ayL3aPl10gt6zPqOsT3bnK5RQC4-Tp8/edit?gid=868681460#gid=868681460"",""3-1 economia i!a1:q852"")"),"")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IFERROR(__xludf.DUMMYFUNCTION("""COMPUTED_VALUE"""),"ECONOMÍA I")</f>
        <v>ECONOMÍA 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IFERROR(__xludf.DUMMYFUNCTION("""COMPUTED_VALUE"""),7.8)</f>
        <v>7.8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IFERROR(__xludf.DUMMYFUNCTION("""COMPUTED_VALUE"""),9.8)</f>
        <v>9.8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IFERROR(__xludf.DUMMYFUNCTION("""COMPUTED_VALUE"""),8.5)</f>
        <v>8.5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IFERROR(__xludf.DUMMYFUNCTION("""COMPUTED_VALUE"""),11.5)</f>
        <v>11.5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IFERROR(__xludf.DUMMYFUNCTION("""COMPUTED_VALUE"""),12.0)</f>
        <v>12</v>
      </c>
      <c r="M18" s="1" t="str">
        <f>IFERROR(__xludf.DUMMYFUNCTION("""COMPUTED_VALUE"""),"Febrero")</f>
        <v>Febrero</v>
      </c>
      <c r="N18" s="1">
        <f>IFERROR(__xludf.DUMMYFUNCTION("""COMPUTED_VALUE"""),9.0)</f>
        <v>9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IFERROR(__xludf.DUMMYFUNCTION("""COMPUTED_VALUE"""),5.7)</f>
        <v>5.7</v>
      </c>
      <c r="F19" s="54">
        <f>IFERROR(__xludf.DUMMYFUNCTION("""COMPUTED_VALUE"""),0.0)</f>
        <v>0</v>
      </c>
      <c r="G19" s="55">
        <f>IFERROR(__xludf.DUMMYFUNCTION("""COMPUTED_VALUE"""),0.0)</f>
        <v>0</v>
      </c>
      <c r="H19" s="56">
        <f>IFERROR(__xludf.DUMMYFUNCTION("""COMPUTED_VALUE"""),5.7)</f>
        <v>5.7</v>
      </c>
      <c r="I19" s="57">
        <f>IFERROR(__xludf.DUMMYFUNCTION("""COMPUTED_VALUE"""),0.0)</f>
        <v>0</v>
      </c>
      <c r="J19" s="58">
        <f>IFERROR(__xludf.DUMMYFUNCTION("""COMPUTED_VALUE"""),5.0)</f>
        <v>5</v>
      </c>
      <c r="K19" s="51"/>
      <c r="L19" s="60">
        <f>IFERROR(__xludf.DUMMYFUNCTION("""COMPUTED_VALUE"""),5.0)</f>
        <v>5</v>
      </c>
      <c r="M19" s="1" t="str">
        <f>IFERROR(__xludf.DUMMYFUNCTION("""COMPUTED_VALUE"""),"Marzo")</f>
        <v>Marzo</v>
      </c>
      <c r="N19" s="1">
        <f>IFERROR(__xludf.DUMMYFUNCTION("""COMPUTED_VALUE"""),12.0)</f>
        <v>12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IFERROR(__xludf.DUMMYFUNCTION("""COMPUTED_VALUE"""),8.5)</f>
        <v>8.5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IFERROR(__xludf.DUMMYFUNCTION("""COMPUTED_VALUE"""),11.5)</f>
        <v>11.5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IFERROR(__xludf.DUMMYFUNCTION("""COMPUTED_VALUE"""),12.0)</f>
        <v>12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IFERROR(__xludf.DUMMYFUNCTION("""COMPUTED_VALUE"""),6.9)</f>
        <v>6.9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IFERROR(__xludf.DUMMYFUNCTION("""COMPUTED_VALUE"""),9.9)</f>
        <v>9.9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IFERROR(__xludf.DUMMYFUNCTION("""COMPUTED_VALUE"""),12.0)</f>
        <v>12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IFERROR(__xludf.DUMMYFUNCTION("""COMPUTED_VALUE"""),6.1)</f>
        <v>6.1</v>
      </c>
      <c r="F22" s="54">
        <f>IFERROR(__xludf.DUMMYFUNCTION("""COMPUTED_VALUE"""),0.0)</f>
        <v>0</v>
      </c>
      <c r="G22" s="55">
        <f>IFERROR(__xludf.DUMMYFUNCTION("""COMPUTED_VALUE"""),0.0)</f>
        <v>0</v>
      </c>
      <c r="H22" s="56">
        <f>IFERROR(__xludf.DUMMYFUNCTION("""COMPUTED_VALUE"""),6.1)</f>
        <v>6.1</v>
      </c>
      <c r="I22" s="57">
        <f>IFERROR(__xludf.DUMMYFUNCTION("""COMPUTED_VALUE"""),1.0)</f>
        <v>1</v>
      </c>
      <c r="J22" s="58">
        <f>IFERROR(__xludf.DUMMYFUNCTION("""COMPUTED_VALUE"""),6.0)</f>
        <v>6</v>
      </c>
      <c r="K22" s="51"/>
      <c r="L22" s="60">
        <f>IFERROR(__xludf.DUMMYFUNCTION("""COMPUTED_VALUE"""),6.0)</f>
        <v>6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IFERROR(__xludf.DUMMYFUNCTION("""COMPUTED_VALUE"""),7.2)</f>
        <v>7.2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IFERROR(__xludf.DUMMYFUNCTION("""COMPUTED_VALUE"""),9.2)</f>
        <v>9.2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IFERROR(__xludf.DUMMYFUNCTION("""COMPUTED_VALUE"""),7.0)</f>
        <v>7</v>
      </c>
      <c r="F24" s="54">
        <f>IFERROR(__xludf.DUMMYFUNCTION("""COMPUTED_VALUE"""),0.0)</f>
        <v>0</v>
      </c>
      <c r="G24" s="55">
        <f>IFERROR(__xludf.DUMMYFUNCTION("""COMPUTED_VALUE"""),0.0)</f>
        <v>0</v>
      </c>
      <c r="H24" s="56">
        <f>IFERROR(__xludf.DUMMYFUNCTION("""COMPUTED_VALUE"""),7.0)</f>
        <v>7</v>
      </c>
      <c r="I24" s="57">
        <f>IFERROR(__xludf.DUMMYFUNCTION("""COMPUTED_VALUE"""),0.0)</f>
        <v>0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IFERROR(__xludf.DUMMYFUNCTION("""COMPUTED_VALUE"""),60.0)</f>
        <v>60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IFERROR(__xludf.DUMMYFUNCTION("""COMPUTED_VALUE"""),7.8)</f>
        <v>7.8</v>
      </c>
      <c r="F25" s="54">
        <f>IFERROR(__xludf.DUMMYFUNCTION("""COMPUTED_VALUE"""),0.0)</f>
        <v>0</v>
      </c>
      <c r="G25" s="55">
        <f>IFERROR(__xludf.DUMMYFUNCTION("""COMPUTED_VALUE"""),0.0)</f>
        <v>0</v>
      </c>
      <c r="H25" s="56">
        <f>IFERROR(__xludf.DUMMYFUNCTION("""COMPUTED_VALUE"""),7.8)</f>
        <v>7.8</v>
      </c>
      <c r="I25" s="57">
        <f>IFERROR(__xludf.DUMMYFUNCTION("""COMPUTED_VALUE"""),0.0)</f>
        <v>0</v>
      </c>
      <c r="J25" s="58">
        <f>IFERROR(__xludf.DUMMYFUNCTION("""COMPUTED_VALUE"""),8.0)</f>
        <v>8</v>
      </c>
      <c r="K25" s="51"/>
      <c r="L25" s="60">
        <f>IFERROR(__xludf.DUMMYFUNCTION("""COMPUTED_VALUE"""),8.0)</f>
        <v>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IFERROR(__xludf.DUMMYFUNCTION("""COMPUTED_VALUE"""),7.6)</f>
        <v>7.6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IFERROR(__xludf.DUMMYFUNCTION("""COMPUTED_VALUE"""),9.6)</f>
        <v>9.6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IFERROR(__xludf.DUMMYFUNCTION("""COMPUTED_VALUE"""),6.8)</f>
        <v>6.8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IFERROR(__xludf.DUMMYFUNCTION("""COMPUTED_VALUE"""),8.8)</f>
        <v>8.8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IFERROR(__xludf.DUMMYFUNCTION("""COMPUTED_VALUE"""),7.5)</f>
        <v>7.5</v>
      </c>
      <c r="F28" s="54">
        <f>IFERROR(__xludf.DUMMYFUNCTION("""COMPUTED_VALUE"""),2.0)</f>
        <v>2</v>
      </c>
      <c r="G28" s="55">
        <f>IFERROR(__xludf.DUMMYFUNCTION("""COMPUTED_VALUE"""),0.0)</f>
        <v>0</v>
      </c>
      <c r="H28" s="56">
        <f>IFERROR(__xludf.DUMMYFUNCTION("""COMPUTED_VALUE"""),9.5)</f>
        <v>9.5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IFERROR(__xludf.DUMMYFUNCTION("""COMPUTED_VALUE"""),8.9)</f>
        <v>8.9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IFERROR(__xludf.DUMMYFUNCTION("""COMPUTED_VALUE"""),11.9)</f>
        <v>11.9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IFERROR(__xludf.DUMMYFUNCTION("""COMPUTED_VALUE"""),12.0)</f>
        <v>12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IFERROR(__xludf.DUMMYFUNCTION("""COMPUTED_VALUE"""),8.8)</f>
        <v>8.8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IFERROR(__xludf.DUMMYFUNCTION("""COMPUTED_VALUE"""),11.8)</f>
        <v>11.8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IFERROR(__xludf.DUMMYFUNCTION("""COMPUTED_VALUE"""),12.0)</f>
        <v>12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IFERROR(__xludf.DUMMYFUNCTION("""COMPUTED_VALUE"""),3.5)</f>
        <v>3.5</v>
      </c>
      <c r="F31" s="54">
        <f>IFERROR(__xludf.DUMMYFUNCTION("""COMPUTED_VALUE"""),0.0)</f>
        <v>0</v>
      </c>
      <c r="G31" s="55">
        <f>IFERROR(__xludf.DUMMYFUNCTION("""COMPUTED_VALUE"""),0.0)</f>
        <v>0</v>
      </c>
      <c r="H31" s="56">
        <f>IFERROR(__xludf.DUMMYFUNCTION("""COMPUTED_VALUE"""),3.5)</f>
        <v>3.5</v>
      </c>
      <c r="I31" s="57">
        <f>IFERROR(__xludf.DUMMYFUNCTION("""COMPUTED_VALUE"""),2.0)</f>
        <v>2</v>
      </c>
      <c r="J31" s="58">
        <f>IFERROR(__xludf.DUMMYFUNCTION("""COMPUTED_VALUE"""),5.0)</f>
        <v>5</v>
      </c>
      <c r="K31" s="51"/>
      <c r="L31" s="60">
        <f>IFERROR(__xludf.DUMMYFUNCTION("""COMPUTED_VALUE"""),3.0)</f>
        <v>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IFERROR(__xludf.DUMMYFUNCTION("""COMPUTED_VALUE"""),7.2)</f>
        <v>7.2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IFERROR(__xludf.DUMMYFUNCTION("""COMPUTED_VALUE"""),9.2)</f>
        <v>9.2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IFERROR(__xludf.DUMMYFUNCTION("""COMPUTED_VALUE"""),7.6)</f>
        <v>7.6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IFERROR(__xludf.DUMMYFUNCTION("""COMPUTED_VALUE"""),9.6)</f>
        <v>9.6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IFERROR(__xludf.DUMMYFUNCTION("""COMPUTED_VALUE"""),7.2)</f>
        <v>7.2</v>
      </c>
      <c r="F34" s="54">
        <f>IFERROR(__xludf.DUMMYFUNCTION("""COMPUTED_VALUE"""),2.0)</f>
        <v>2</v>
      </c>
      <c r="G34" s="55">
        <f>IFERROR(__xludf.DUMMYFUNCTION("""COMPUTED_VALUE"""),0.0)</f>
        <v>0</v>
      </c>
      <c r="H34" s="56">
        <f>IFERROR(__xludf.DUMMYFUNCTION("""COMPUTED_VALUE"""),9.2)</f>
        <v>9.2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IFERROR(__xludf.DUMMYFUNCTION("""COMPUTED_VALUE"""),7.2)</f>
        <v>7.2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IFERROR(__xludf.DUMMYFUNCTION("""COMPUTED_VALUE"""),9.2)</f>
        <v>9.2</v>
      </c>
      <c r="I35" s="57">
        <f>IFERROR(__xludf.DUMMYFUNCTION("""COMPUTED_VALUE"""),0.0)</f>
        <v>0</v>
      </c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IFERROR(__xludf.DUMMYFUNCTION("""COMPUTED_VALUE"""),7.7)</f>
        <v>7.7</v>
      </c>
      <c r="F36" s="54">
        <f>IFERROR(__xludf.DUMMYFUNCTION("""COMPUTED_VALUE"""),2.0)</f>
        <v>2</v>
      </c>
      <c r="G36" s="55">
        <f>IFERROR(__xludf.DUMMYFUNCTION("""COMPUTED_VALUE"""),0.0)</f>
        <v>0</v>
      </c>
      <c r="H36" s="56">
        <f>IFERROR(__xludf.DUMMYFUNCTION("""COMPUTED_VALUE"""),9.7)</f>
        <v>9.7</v>
      </c>
      <c r="I36" s="57">
        <f>IFERROR(__xludf.DUMMYFUNCTION("""COMPUTED_VALUE"""),1.0)</f>
        <v>1</v>
      </c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IFERROR(__xludf.DUMMYFUNCTION("""COMPUTED_VALUE"""),7.0)</f>
        <v>7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IFERROR(__xludf.DUMMYFUNCTION("""COMPUTED_VALUE"""),9.0)</f>
        <v>9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IFERROR(__xludf.DUMMYFUNCTION("""COMPUTED_VALUE"""),6.8)</f>
        <v>6.8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IFERROR(__xludf.DUMMYFUNCTION("""COMPUTED_VALUE"""),8.8)</f>
        <v>8.8</v>
      </c>
      <c r="I38" s="57">
        <f>IFERROR(__xludf.DUMMYFUNCTION("""COMPUTED_VALUE"""),0.0)</f>
        <v>0</v>
      </c>
      <c r="J38" s="58">
        <f>IFERROR(__xludf.DUMMYFUNCTION("""COMPUTED_VALUE"""),9.0)</f>
        <v>9</v>
      </c>
      <c r="K38" s="51"/>
      <c r="L38" s="60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IFERROR(__xludf.DUMMYFUNCTION("""COMPUTED_VALUE"""),6.8)</f>
        <v>6.8</v>
      </c>
      <c r="F39" s="54">
        <f>IFERROR(__xludf.DUMMYFUNCTION("""COMPUTED_VALUE"""),2.0)</f>
        <v>2</v>
      </c>
      <c r="G39" s="55">
        <f>IFERROR(__xludf.DUMMYFUNCTION("""COMPUTED_VALUE"""),0.0)</f>
        <v>0</v>
      </c>
      <c r="H39" s="56">
        <f>IFERROR(__xludf.DUMMYFUNCTION("""COMPUTED_VALUE"""),8.8)</f>
        <v>8.8</v>
      </c>
      <c r="I39" s="57">
        <f>IFERROR(__xludf.DUMMYFUNCTION("""COMPUTED_VALUE"""),0.0)</f>
        <v>0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IFERROR(__xludf.DUMMYFUNCTION("""COMPUTED_VALUE"""),7.6)</f>
        <v>7.6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IFERROR(__xludf.DUMMYFUNCTION("""COMPUTED_VALUE"""),9.6)</f>
        <v>9.6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IFERROR(__xludf.DUMMYFUNCTION("""COMPUTED_VALUE"""),5.3)</f>
        <v>5.3</v>
      </c>
      <c r="F41" s="54">
        <f>IFERROR(__xludf.DUMMYFUNCTION("""COMPUTED_VALUE"""),0.0)</f>
        <v>0</v>
      </c>
      <c r="G41" s="55">
        <f>IFERROR(__xludf.DUMMYFUNCTION("""COMPUTED_VALUE"""),0.0)</f>
        <v>0</v>
      </c>
      <c r="H41" s="56">
        <f>IFERROR(__xludf.DUMMYFUNCTION("""COMPUTED_VALUE"""),5.3)</f>
        <v>5.3</v>
      </c>
      <c r="I41" s="57">
        <f>IFERROR(__xludf.DUMMYFUNCTION("""COMPUTED_VALUE"""),0.0)</f>
        <v>0</v>
      </c>
      <c r="J41" s="58">
        <f>IFERROR(__xludf.DUMMYFUNCTION("""COMPUTED_VALUE"""),5.0)</f>
        <v>5</v>
      </c>
      <c r="K41" s="51"/>
      <c r="L41" s="60">
        <f>IFERROR(__xludf.DUMMYFUNCTION("""COMPUTED_VALUE"""),5.0)</f>
        <v>5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IFERROR(__xludf.DUMMYFUNCTION("""COMPUTED_VALUE"""),7.5)</f>
        <v>7.5</v>
      </c>
      <c r="F42" s="54">
        <f>IFERROR(__xludf.DUMMYFUNCTION("""COMPUTED_VALUE"""),0.0)</f>
        <v>0</v>
      </c>
      <c r="G42" s="55">
        <f>IFERROR(__xludf.DUMMYFUNCTION("""COMPUTED_VALUE"""),0.0)</f>
        <v>0</v>
      </c>
      <c r="H42" s="56">
        <f>IFERROR(__xludf.DUMMYFUNCTION("""COMPUTED_VALUE"""),7.5)</f>
        <v>7.5</v>
      </c>
      <c r="I42" s="57">
        <f>IFERROR(__xludf.DUMMYFUNCTION("""COMPUTED_VALUE"""),0.0)</f>
        <v>0</v>
      </c>
      <c r="J42" s="58">
        <f>IFERROR(__xludf.DUMMYFUNCTION("""COMPUTED_VALUE"""),8.0)</f>
        <v>8</v>
      </c>
      <c r="K42" s="51"/>
      <c r="L42" s="60">
        <f>IFERROR(__xludf.DUMMYFUNCTION("""COMPUTED_VALUE"""),8.0)</f>
        <v>8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IFERROR(__xludf.DUMMYFUNCTION("""COMPUTED_VALUE"""),7.8)</f>
        <v>7.8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IFERROR(__xludf.DUMMYFUNCTION("""COMPUTED_VALUE"""),9.8)</f>
        <v>9.8</v>
      </c>
      <c r="I43" s="57">
        <f>IFERROR(__xludf.DUMMYFUNCTION("""COMPUTED_VALUE"""),0.0)</f>
        <v>0</v>
      </c>
      <c r="J43" s="58">
        <f>IFERROR(__xludf.DUMMYFUNCTION("""COMPUTED_VALUE"""),10.0)</f>
        <v>10</v>
      </c>
      <c r="K43" s="51"/>
      <c r="L43" s="60">
        <f>IFERROR(__xludf.DUMMYFUNCTION("""COMPUTED_VALUE"""),10.0)</f>
        <v>10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IFERROR(__xludf.DUMMYFUNCTION("""COMPUTED_VALUE"""),7.5)</f>
        <v>7.5</v>
      </c>
      <c r="F44" s="54">
        <f>IFERROR(__xludf.DUMMYFUNCTION("""COMPUTED_VALUE"""),2.0)</f>
        <v>2</v>
      </c>
      <c r="G44" s="55">
        <f>IFERROR(__xludf.DUMMYFUNCTION("""COMPUTED_VALUE"""),0.0)</f>
        <v>0</v>
      </c>
      <c r="H44" s="56">
        <f>IFERROR(__xludf.DUMMYFUNCTION("""COMPUTED_VALUE"""),9.5)</f>
        <v>9.5</v>
      </c>
      <c r="I44" s="57">
        <f>IFERROR(__xludf.DUMMYFUNCTION("""COMPUTED_VALUE"""),0.0)</f>
        <v>0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IFERROR(__xludf.DUMMYFUNCTION("""COMPUTED_VALUE"""),7.5)</f>
        <v>7.5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IFERROR(__xludf.DUMMYFUNCTION("""COMPUTED_VALUE"""),9.5)</f>
        <v>9.5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IFERROR(__xludf.DUMMYFUNCTION("""COMPUTED_VALUE"""),6.8)</f>
        <v>6.8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IFERROR(__xludf.DUMMYFUNCTION("""COMPUTED_VALUE"""),9.8)</f>
        <v>9.8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IFERROR(__xludf.DUMMYFUNCTION("""COMPUTED_VALUE"""),7.9)</f>
        <v>7.9</v>
      </c>
      <c r="F47" s="54">
        <f>IFERROR(__xludf.DUMMYFUNCTION("""COMPUTED_VALUE"""),0.0)</f>
        <v>0</v>
      </c>
      <c r="G47" s="55">
        <f>IFERROR(__xludf.DUMMYFUNCTION("""COMPUTED_VALUE"""),1.0)</f>
        <v>1</v>
      </c>
      <c r="H47" s="56">
        <f>IFERROR(__xludf.DUMMYFUNCTION("""COMPUTED_VALUE"""),8.9)</f>
        <v>8.9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IFERROR(__xludf.DUMMYFUNCTION("""COMPUTED_VALUE"""),7.1)</f>
        <v>7.1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IFERROR(__xludf.DUMMYFUNCTION("""COMPUTED_VALUE"""),9.1)</f>
        <v>9.1</v>
      </c>
      <c r="I48" s="57">
        <f>IFERROR(__xludf.DUMMYFUNCTION("""COMPUTED_VALUE"""),1.0)</f>
        <v>1</v>
      </c>
      <c r="J48" s="58">
        <f>IFERROR(__xludf.DUMMYFUNCTION("""COMPUTED_VALUE"""),9.0)</f>
        <v>9</v>
      </c>
      <c r="K48" s="51"/>
      <c r="L48" s="60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IFERROR(__xludf.DUMMYFUNCTION("""COMPUTED_VALUE"""),7.5)</f>
        <v>7.5</v>
      </c>
      <c r="F49" s="54">
        <f>IFERROR(__xludf.DUMMYFUNCTION("""COMPUTED_VALUE"""),2.0)</f>
        <v>2</v>
      </c>
      <c r="G49" s="55">
        <f>IFERROR(__xludf.DUMMYFUNCTION("""COMPUTED_VALUE"""),0.0)</f>
        <v>0</v>
      </c>
      <c r="H49" s="56">
        <f>IFERROR(__xludf.DUMMYFUNCTION("""COMPUTED_VALUE"""),9.5)</f>
        <v>9.5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IFERROR(__xludf.DUMMYFUNCTION("""COMPUTED_VALUE"""),4.5)</f>
        <v>4.5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IFERROR(__xludf.DUMMYFUNCTION("""COMPUTED_VALUE"""),6.5)</f>
        <v>6.5</v>
      </c>
      <c r="I50" s="57">
        <f>IFERROR(__xludf.DUMMYFUNCTION("""COMPUTED_VALUE"""),0.0)</f>
        <v>0</v>
      </c>
      <c r="J50" s="58">
        <f>IFERROR(__xludf.DUMMYFUNCTION("""COMPUTED_VALUE"""),7.0)</f>
        <v>7</v>
      </c>
      <c r="K50" s="51"/>
      <c r="L50" s="60">
        <f>IFERROR(__xludf.DUMMYFUNCTION("""COMPUTED_VALUE"""),7.0)</f>
        <v>7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IFERROR(__xludf.DUMMYFUNCTION("""COMPUTED_VALUE"""),7.2)</f>
        <v>7.2</v>
      </c>
      <c r="F51" s="54">
        <f>IFERROR(__xludf.DUMMYFUNCTION("""COMPUTED_VALUE"""),2.0)</f>
        <v>2</v>
      </c>
      <c r="G51" s="55">
        <f>IFERROR(__xludf.DUMMYFUNCTION("""COMPUTED_VALUE"""),0.0)</f>
        <v>0</v>
      </c>
      <c r="H51" s="56">
        <f>IFERROR(__xludf.DUMMYFUNCTION("""COMPUTED_VALUE"""),9.2)</f>
        <v>9.2</v>
      </c>
      <c r="I51" s="57">
        <f>IFERROR(__xludf.DUMMYFUNCTION("""COMPUTED_VALUE"""),0.0)</f>
        <v>0</v>
      </c>
      <c r="J51" s="58">
        <f>IFERROR(__xludf.DUMMYFUNCTION("""COMPUTED_VALUE"""),9.0)</f>
        <v>9</v>
      </c>
      <c r="K51" s="51"/>
      <c r="L51" s="60">
        <f>IFERROR(__xludf.DUMMYFUNCTION("""COMPUTED_VALUE"""),9.0)</f>
        <v>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IFERROR(__xludf.DUMMYFUNCTION("""COMPUTED_VALUE"""),6.9)</f>
        <v>6.9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IFERROR(__xludf.DUMMYFUNCTION("""COMPUTED_VALUE"""),8.9)</f>
        <v>8.9</v>
      </c>
      <c r="I52" s="57">
        <f>IFERROR(__xludf.DUMMYFUNCTION("""COMPUTED_VALUE"""),0.0)</f>
        <v>0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IFERROR(__xludf.DUMMYFUNCTION("""COMPUTED_VALUE"""),7.7)</f>
        <v>7.7</v>
      </c>
      <c r="F53" s="54">
        <f>IFERROR(__xludf.DUMMYFUNCTION("""COMPUTED_VALUE"""),2.0)</f>
        <v>2</v>
      </c>
      <c r="G53" s="55">
        <f>IFERROR(__xludf.DUMMYFUNCTION("""COMPUTED_VALUE"""),0.0)</f>
        <v>0</v>
      </c>
      <c r="H53" s="56">
        <f>IFERROR(__xludf.DUMMYFUNCTION("""COMPUTED_VALUE"""),9.7)</f>
        <v>9.7</v>
      </c>
      <c r="I53" s="57">
        <f>IFERROR(__xludf.DUMMYFUNCTION("""COMPUTED_VALUE"""),0.0)</f>
        <v>0</v>
      </c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IFERROR(__xludf.DUMMYFUNCTION("""COMPUTED_VALUE"""),7.5)</f>
        <v>7.5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IFERROR(__xludf.DUMMYFUNCTION("""COMPUTED_VALUE"""),9.5)</f>
        <v>9.5</v>
      </c>
      <c r="I54" s="57">
        <f>IFERROR(__xludf.DUMMYFUNCTION("""COMPUTED_VALUE"""),1.0)</f>
        <v>1</v>
      </c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IFERROR(__xludf.DUMMYFUNCTION("""COMPUTED_VALUE"""),3.7)</f>
        <v>3.7</v>
      </c>
      <c r="F55" s="54">
        <f>IFERROR(__xludf.DUMMYFUNCTION("""COMPUTED_VALUE"""),0.0)</f>
        <v>0</v>
      </c>
      <c r="G55" s="55">
        <f>IFERROR(__xludf.DUMMYFUNCTION("""COMPUTED_VALUE"""),0.0)</f>
        <v>0</v>
      </c>
      <c r="H55" s="56">
        <f>IFERROR(__xludf.DUMMYFUNCTION("""COMPUTED_VALUE"""),3.7)</f>
        <v>3.7</v>
      </c>
      <c r="I55" s="61">
        <f>IFERROR(__xludf.DUMMYFUNCTION("""COMPUTED_VALUE"""),1.0)</f>
        <v>1</v>
      </c>
      <c r="J55" s="58">
        <f>IFERROR(__xludf.DUMMYFUNCTION("""COMPUTED_VALUE"""),5.0)</f>
        <v>5</v>
      </c>
      <c r="K55" s="51"/>
      <c r="L55" s="59">
        <f>IFERROR(__xludf.DUMMYFUNCTION("""COMPUTED_VALUE"""),3.0)</f>
        <v>3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IFERROR(__xludf.DUMMYFUNCTION("""COMPUTED_VALUE"""),7.4)</f>
        <v>7.4</v>
      </c>
      <c r="F56" s="54">
        <f>IFERROR(__xludf.DUMMYFUNCTION("""COMPUTED_VALUE"""),0.0)</f>
        <v>0</v>
      </c>
      <c r="G56" s="55">
        <f>IFERROR(__xludf.DUMMYFUNCTION("""COMPUTED_VALUE"""),0.0)</f>
        <v>0</v>
      </c>
      <c r="H56" s="56">
        <f>IFERROR(__xludf.DUMMYFUNCTION("""COMPUTED_VALUE"""),7.4)</f>
        <v>7.4</v>
      </c>
      <c r="I56" s="61">
        <f>IFERROR(__xludf.DUMMYFUNCTION("""COMPUTED_VALUE"""),0.0)</f>
        <v>0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IFERROR(__xludf.DUMMYFUNCTION("""COMPUTED_VALUE"""),6.6)</f>
        <v>6.6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IFERROR(__xludf.DUMMYFUNCTION("""COMPUTED_VALUE"""),9.6)</f>
        <v>9.6</v>
      </c>
      <c r="I57" s="61">
        <f>IFERROR(__xludf.DUMMYFUNCTION("""COMPUTED_VALUE"""),0.0)</f>
        <v>0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IFERROR(__xludf.DUMMYFUNCTION("""COMPUTED_VALUE"""),8.2)</f>
        <v>8.2</v>
      </c>
      <c r="F58" s="54">
        <f>IFERROR(__xludf.DUMMYFUNCTION("""COMPUTED_VALUE"""),0.0)</f>
        <v>0</v>
      </c>
      <c r="G58" s="55">
        <f>IFERROR(__xludf.DUMMYFUNCTION("""COMPUTED_VALUE"""),1.0)</f>
        <v>1</v>
      </c>
      <c r="H58" s="56">
        <f>IFERROR(__xludf.DUMMYFUNCTION("""COMPUTED_VALUE"""),9.2)</f>
        <v>9.2</v>
      </c>
      <c r="I58" s="61">
        <f>IFERROR(__xludf.DUMMYFUNCTION("""COMPUTED_VALUE"""),0.0)</f>
        <v>0</v>
      </c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IFERROR(__xludf.DUMMYFUNCTION("""COMPUTED_VALUE"""),8.2)</f>
        <v>8.2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IFERROR(__xludf.DUMMYFUNCTION("""COMPUTED_VALUE"""),11.2)</f>
        <v>11.2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IFERROR(__xludf.DUMMYFUNCTION("""COMPUTED_VALUE"""),11.0)</f>
        <v>11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IFERROR(__xludf.DUMMYFUNCTION("""COMPUTED_VALUE"""),8.8)</f>
        <v>8.8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IFERROR(__xludf.DUMMYFUNCTION("""COMPUTED_VALUE"""),11.8)</f>
        <v>11.8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IFERROR(__xludf.DUMMYFUNCTION("""COMPUTED_VALUE"""),12.0)</f>
        <v>12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IFERROR(__xludf.DUMMYFUNCTION("""COMPUTED_VALUE"""),5.8)</f>
        <v>5.8</v>
      </c>
      <c r="F61" s="54">
        <f>IFERROR(__xludf.DUMMYFUNCTION("""COMPUTED_VALUE"""),2.0)</f>
        <v>2</v>
      </c>
      <c r="G61" s="55">
        <f>IFERROR(__xludf.DUMMYFUNCTION("""COMPUTED_VALUE"""),0.0)</f>
        <v>0</v>
      </c>
      <c r="H61" s="56">
        <f>IFERROR(__xludf.DUMMYFUNCTION("""COMPUTED_VALUE"""),7.8)</f>
        <v>7.8</v>
      </c>
      <c r="I61" s="61">
        <f>IFERROR(__xludf.DUMMYFUNCTION("""COMPUTED_VALUE"""),0.0)</f>
        <v>0</v>
      </c>
      <c r="J61" s="58">
        <f>IFERROR(__xludf.DUMMYFUNCTION("""COMPUTED_VALUE"""),8.0)</f>
        <v>8</v>
      </c>
      <c r="K61" s="51"/>
      <c r="L61" s="59">
        <f>IFERROR(__xludf.DUMMYFUNCTION("""COMPUTED_VALUE"""),8.0)</f>
        <v>8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IFERROR(__xludf.DUMMYFUNCTION("""COMPUTED_VALUE"""),41.0)</f>
        <v>41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IFERROR(__xludf.DUMMYFUNCTION("""COMPUTED_VALUE"""),4.0)</f>
        <v>4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IFERROR(__xludf.DUMMYFUNCTION("""COMPUTED_VALUE"""),91.11111111111111)</f>
        <v>91.11111111</v>
      </c>
      <c r="E68" s="65"/>
      <c r="F68" s="89" t="str">
        <f>IFERROR(__xludf.DUMMYFUNCTION("""COMPUTED_VALUE"""),"PROFR. IVÁN HERNÁNDEZ PÉREZ")</f>
        <v>PROFR. IVÁN HERNÁNDEZ PÉREZ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IFERROR(__xludf.DUMMYFUNCTION("""COMPUTED_VALUE"""),8.844444444444445)</f>
        <v>8.844444444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IFERROR(__xludf.DUMMYFUNCTION("IMPORTRANGE(""https://docs.google.com/spreadsheets/d/1hdYffmd0I-t7zVuUXVNptIyuEnU72VzHq_pRAqyBL98/edit?gid=868681460#gid=868681460"",""3-1 paginas web!a1:q85"")"),"")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IFERROR(__xludf.DUMMYFUNCTION("""COMPUTED_VALUE"""),"RENATA")</f>
        <v>RENATA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IFERROR(__xludf.DUMMYFUNCTION("""COMPUTED_VALUE"""),"PÁGINAS WEB")</f>
        <v>PÁGINAS WEB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/>
      <c r="H17" s="56">
        <f>IFERROR(__xludf.DUMMYFUNCTION("""COMPUTED_VALUE"""),9.0)</f>
        <v>9</v>
      </c>
      <c r="I17" s="57">
        <f>IFERROR(__xludf.DUMMYFUNCTION("""COMPUTED_VALUE"""),0.0)</f>
        <v>0</v>
      </c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IFERROR(__xludf.DUMMYFUNCTION("""COMPUTED_VALUE"""),4.0)</f>
        <v>4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IFERROR(__xludf.DUMMYFUNCTION("""COMPUTED_VALUE"""),7.0)</f>
        <v>7</v>
      </c>
      <c r="I18" s="57">
        <f>IFERROR(__xludf.DUMMYFUNCTION("""COMPUTED_VALUE"""),0.0)</f>
        <v>0</v>
      </c>
      <c r="J18" s="58">
        <f>IFERROR(__xludf.DUMMYFUNCTION("""COMPUTED_VALUE"""),7.0)</f>
        <v>7</v>
      </c>
      <c r="K18" s="51"/>
      <c r="L18" s="60">
        <f>IFERROR(__xludf.DUMMYFUNCTION("""COMPUTED_VALUE"""),7.0)</f>
        <v>7</v>
      </c>
      <c r="M18" s="1" t="str">
        <f>IFERROR(__xludf.DUMMYFUNCTION("""COMPUTED_VALUE"""),"Febrero")</f>
        <v>Febrero</v>
      </c>
      <c r="N18" s="1">
        <f>IFERROR(__xludf.DUMMYFUNCTION("""COMPUTED_VALUE"""),7.0)</f>
        <v>7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IFERROR(__xludf.DUMMYFUNCTION("""COMPUTED_VALUE"""),4.0)</f>
        <v>4</v>
      </c>
      <c r="F19" s="54">
        <f>IFERROR(__xludf.DUMMYFUNCTION("""COMPUTED_VALUE"""),2.0)</f>
        <v>2</v>
      </c>
      <c r="G19" s="55"/>
      <c r="H19" s="56">
        <f>IFERROR(__xludf.DUMMYFUNCTION("""COMPUTED_VALUE"""),6.0)</f>
        <v>6</v>
      </c>
      <c r="I19" s="57">
        <f>IFERROR(__xludf.DUMMYFUNCTION("""COMPUTED_VALUE"""),0.0)</f>
        <v>0</v>
      </c>
      <c r="J19" s="58">
        <f>IFERROR(__xludf.DUMMYFUNCTION("""COMPUTED_VALUE"""),6.0)</f>
        <v>6</v>
      </c>
      <c r="K19" s="51"/>
      <c r="L19" s="60">
        <f>IFERROR(__xludf.DUMMYFUNCTION("""COMPUTED_VALUE"""),6.0)</f>
        <v>6</v>
      </c>
      <c r="M19" s="1" t="str">
        <f>IFERROR(__xludf.DUMMYFUNCTION("""COMPUTED_VALUE"""),"Marzo")</f>
        <v>Marzo</v>
      </c>
      <c r="N19" s="1">
        <f>IFERROR(__xludf.DUMMYFUNCTION("""COMPUTED_VALUE"""),11.0)</f>
        <v>11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IFERROR(__xludf.DUMMYFUNCTION("""COMPUTED_VALUE"""),9.0)</f>
        <v>9</v>
      </c>
      <c r="I20" s="57">
        <f>IFERROR(__xludf.DUMMYFUNCTION("""COMPUTED_VALUE"""),0.0)</f>
        <v>0</v>
      </c>
      <c r="J20" s="58">
        <f>IFERROR(__xludf.DUMMYFUNCTION("""COMPUTED_VALUE"""),9.0)</f>
        <v>9</v>
      </c>
      <c r="K20" s="51"/>
      <c r="L20" s="60">
        <f>IFERROR(__xludf.DUMMYFUNCTION("""COMPUTED_VALUE"""),9.0)</f>
        <v>9</v>
      </c>
      <c r="M20" s="1" t="str">
        <f>IFERROR(__xludf.DUMMYFUNCTION("""COMPUTED_VALUE"""),"Abril")</f>
        <v>Abril</v>
      </c>
      <c r="N20" s="1">
        <f>IFERROR(__xludf.DUMMYFUNCTION("""COMPUTED_VALUE"""),9.0)</f>
        <v>9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IFERROR(__xludf.DUMMYFUNCTION("""COMPUTED_VALUE"""),5.0)</f>
        <v>5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IFERROR(__xludf.DUMMYFUNCTION("""COMPUTED_VALUE"""),8.0)</f>
        <v>8</v>
      </c>
      <c r="I21" s="57">
        <f>IFERROR(__xludf.DUMMYFUNCTION("""COMPUTED_VALUE"""),0.0)</f>
        <v>0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>
        <f>IFERROR(__xludf.DUMMYFUNCTION("""COMPUTED_VALUE"""),10.0)</f>
        <v>10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IFERROR(__xludf.DUMMYFUNCTION("""COMPUTED_VALUE"""),7.0)</f>
        <v>7</v>
      </c>
      <c r="F22" s="54">
        <f>IFERROR(__xludf.DUMMYFUNCTION("""COMPUTED_VALUE"""),2.0)</f>
        <v>2</v>
      </c>
      <c r="G22" s="55"/>
      <c r="H22" s="56">
        <f>IFERROR(__xludf.DUMMYFUNCTION("""COMPUTED_VALUE"""),9.0)</f>
        <v>9</v>
      </c>
      <c r="I22" s="57">
        <f>IFERROR(__xludf.DUMMYFUNCTION("""COMPUTED_VALUE"""),2.0)</f>
        <v>2</v>
      </c>
      <c r="J22" s="58">
        <f>IFERROR(__xludf.DUMMYFUNCTION("""COMPUTED_VALUE"""),9.0)</f>
        <v>9</v>
      </c>
      <c r="K22" s="51"/>
      <c r="L22" s="60">
        <f>IFERROR(__xludf.DUMMYFUNCTION("""COMPUTED_VALUE"""),9.0)</f>
        <v>9</v>
      </c>
      <c r="M22" s="1" t="str">
        <f>IFERROR(__xludf.DUMMYFUNCTION("""COMPUTED_VALUE"""),"Junio")</f>
        <v>Junio</v>
      </c>
      <c r="N22" s="1">
        <f>IFERROR(__xludf.DUMMYFUNCTION("""COMPUTED_VALUE"""),12.0)</f>
        <v>12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IFERROR(__xludf.DUMMYFUNCTION("""COMPUTED_VALUE"""),6.0)</f>
        <v>6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IFERROR(__xludf.DUMMYFUNCTION("""COMPUTED_VALUE"""),5.0)</f>
        <v>5</v>
      </c>
      <c r="F24" s="54">
        <f>IFERROR(__xludf.DUMMYFUNCTION("""COMPUTED_VALUE"""),2.0)</f>
        <v>2</v>
      </c>
      <c r="G24" s="55"/>
      <c r="H24" s="56">
        <f>IFERROR(__xludf.DUMMYFUNCTION("""COMPUTED_VALUE"""),7.0)</f>
        <v>7</v>
      </c>
      <c r="I24" s="57">
        <f>IFERROR(__xludf.DUMMYFUNCTION("""COMPUTED_VALUE"""),1.0)</f>
        <v>1</v>
      </c>
      <c r="J24" s="58">
        <f>IFERROR(__xludf.DUMMYFUNCTION("""COMPUTED_VALUE"""),7.0)</f>
        <v>7</v>
      </c>
      <c r="K24" s="51"/>
      <c r="L24" s="60">
        <f>IFERROR(__xludf.DUMMYFUNCTION("""COMPUTED_VALUE"""),7.0)</f>
        <v>7</v>
      </c>
      <c r="M24" s="1" t="str">
        <f>IFERROR(__xludf.DUMMYFUNCTION("""COMPUTED_VALUE"""),"TOTAL")</f>
        <v>TOTAL</v>
      </c>
      <c r="N24" s="1">
        <f>IFERROR(__xludf.DUMMYFUNCTION("""COMPUTED_VALUE"""),55.0)</f>
        <v>55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IFERROR(__xludf.DUMMYFUNCTION("""COMPUTED_VALUE"""),7.0)</f>
        <v>7</v>
      </c>
      <c r="F25" s="54">
        <f>IFERROR(__xludf.DUMMYFUNCTION("""COMPUTED_VALUE"""),2.0)</f>
        <v>2</v>
      </c>
      <c r="G25" s="55"/>
      <c r="H25" s="56">
        <f>IFERROR(__xludf.DUMMYFUNCTION("""COMPUTED_VALUE"""),9.0)</f>
        <v>9</v>
      </c>
      <c r="I25" s="57">
        <f>IFERROR(__xludf.DUMMYFUNCTION("""COMPUTED_VALUE"""),0.0)</f>
        <v>0</v>
      </c>
      <c r="J25" s="58">
        <f>IFERROR(__xludf.DUMMYFUNCTION("""COMPUTED_VALUE"""),9.0)</f>
        <v>9</v>
      </c>
      <c r="K25" s="51"/>
      <c r="L25" s="60">
        <f>IFERROR(__xludf.DUMMYFUNCTION("""COMPUTED_VALUE"""),9.0)</f>
        <v>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IFERROR(__xludf.DUMMYFUNCTION("""COMPUTED_VALUE"""),7.0)</f>
        <v>7</v>
      </c>
      <c r="F26" s="54">
        <f>IFERROR(__xludf.DUMMYFUNCTION("""COMPUTED_VALUE"""),2.0)</f>
        <v>2</v>
      </c>
      <c r="G26" s="55"/>
      <c r="H26" s="56">
        <f>IFERROR(__xludf.DUMMYFUNCTION("""COMPUTED_VALUE"""),9.0)</f>
        <v>9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IFERROR(__xludf.DUMMYFUNCTION("""COMPUTED_VALUE"""),5.0)</f>
        <v>5</v>
      </c>
      <c r="F27" s="54">
        <f>IFERROR(__xludf.DUMMYFUNCTION("""COMPUTED_VALUE"""),2.0)</f>
        <v>2</v>
      </c>
      <c r="G27" s="55"/>
      <c r="H27" s="56">
        <f>IFERROR(__xludf.DUMMYFUNCTION("""COMPUTED_VALUE"""),7.0)</f>
        <v>7</v>
      </c>
      <c r="I27" s="57">
        <f>IFERROR(__xludf.DUMMYFUNCTION("""COMPUTED_VALUE"""),1.0)</f>
        <v>1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/>
      <c r="H28" s="56">
        <f>IFERROR(__xludf.DUMMYFUNCTION("""COMPUTED_VALUE"""),9.0)</f>
        <v>9</v>
      </c>
      <c r="I28" s="57">
        <f>IFERROR(__xludf.DUMMYFUNCTION("""COMPUTED_VALUE"""),0.0)</f>
        <v>0</v>
      </c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IFERROR(__xludf.DUMMYFUNCTION("""COMPUTED_VALUE"""),7.0)</f>
        <v>7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IFERROR(__xludf.DUMMYFUNCTION("""COMPUTED_VALUE"""),6.0)</f>
        <v>6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IFERROR(__xludf.DUMMYFUNCTION("""COMPUTED_VALUE"""),9.0)</f>
        <v>9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IFERROR(__xludf.DUMMYFUNCTION("""COMPUTED_VALUE"""),2.0)</f>
        <v>2</v>
      </c>
      <c r="F31" s="54">
        <f>IFERROR(__xludf.DUMMYFUNCTION("""COMPUTED_VALUE"""),2.0)</f>
        <v>2</v>
      </c>
      <c r="G31" s="55"/>
      <c r="H31" s="56">
        <f>IFERROR(__xludf.DUMMYFUNCTION("""COMPUTED_VALUE"""),4.0)</f>
        <v>4</v>
      </c>
      <c r="I31" s="57">
        <f>IFERROR(__xludf.DUMMYFUNCTION("""COMPUTED_VALUE"""),0.0)</f>
        <v>0</v>
      </c>
      <c r="J31" s="58">
        <f>IFERROR(__xludf.DUMMYFUNCTION("""COMPUTED_VALUE"""),5.0)</f>
        <v>5</v>
      </c>
      <c r="K31" s="51"/>
      <c r="L31" s="60">
        <f>IFERROR(__xludf.DUMMYFUNCTION("""COMPUTED_VALUE"""),4.0)</f>
        <v>4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IFERROR(__xludf.DUMMYFUNCTION("""COMPUTED_VALUE"""),7.0)</f>
        <v>7</v>
      </c>
      <c r="F32" s="54">
        <f>IFERROR(__xludf.DUMMYFUNCTION("""COMPUTED_VALUE"""),2.0)</f>
        <v>2</v>
      </c>
      <c r="G32" s="55"/>
      <c r="H32" s="56">
        <f>IFERROR(__xludf.DUMMYFUNCTION("""COMPUTED_VALUE"""),9.0)</f>
        <v>9</v>
      </c>
      <c r="I32" s="57">
        <f>IFERROR(__xludf.DUMMYFUNCTION("""COMPUTED_VALUE"""),0.0)</f>
        <v>0</v>
      </c>
      <c r="J32" s="58">
        <f>IFERROR(__xludf.DUMMYFUNCTION("""COMPUTED_VALUE"""),9.0)</f>
        <v>9</v>
      </c>
      <c r="K32" s="51"/>
      <c r="L32" s="60">
        <f>IFERROR(__xludf.DUMMYFUNCTION("""COMPUTED_VALUE"""),9.0)</f>
        <v>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/>
      <c r="H33" s="56">
        <f>IFERROR(__xludf.DUMMYFUNCTION("""COMPUTED_VALUE"""),8.0)</f>
        <v>8</v>
      </c>
      <c r="I33" s="57">
        <f>IFERROR(__xludf.DUMMYFUNCTION("""COMPUTED_VALUE"""),0.0)</f>
        <v>0</v>
      </c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IFERROR(__xludf.DUMMYFUNCTION("""COMPUTED_VALUE"""),7.0)</f>
        <v>7</v>
      </c>
      <c r="F34" s="54">
        <f>IFERROR(__xludf.DUMMYFUNCTION("""COMPUTED_VALUE"""),2.0)</f>
        <v>2</v>
      </c>
      <c r="G34" s="55"/>
      <c r="H34" s="56">
        <f>IFERROR(__xludf.DUMMYFUNCTION("""COMPUTED_VALUE"""),9.0)</f>
        <v>9</v>
      </c>
      <c r="I34" s="57">
        <f>IFERROR(__xludf.DUMMYFUNCTION("""COMPUTED_VALUE"""),0.0)</f>
        <v>0</v>
      </c>
      <c r="J34" s="58">
        <f>IFERROR(__xludf.DUMMYFUNCTION("""COMPUTED_VALUE"""),9.0)</f>
        <v>9</v>
      </c>
      <c r="K34" s="51"/>
      <c r="L34" s="60">
        <f>IFERROR(__xludf.DUMMYFUNCTION("""COMPUTED_VALUE"""),9.0)</f>
        <v>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IFERROR(__xludf.DUMMYFUNCTION("""COMPUTED_VALUE"""),6.0)</f>
        <v>6</v>
      </c>
      <c r="F35" s="54">
        <f>IFERROR(__xludf.DUMMYFUNCTION("""COMPUTED_VALUE"""),2.0)</f>
        <v>2</v>
      </c>
      <c r="G35" s="55"/>
      <c r="H35" s="56">
        <f>IFERROR(__xludf.DUMMYFUNCTION("""COMPUTED_VALUE"""),8.0)</f>
        <v>8</v>
      </c>
      <c r="I35" s="57">
        <f>IFERROR(__xludf.DUMMYFUNCTION("""COMPUTED_VALUE"""),0.0)</f>
        <v>0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IFERROR(__xludf.DUMMYFUNCTION("""COMPUTED_VALUE"""),6.0)</f>
        <v>6</v>
      </c>
      <c r="F36" s="54">
        <f>IFERROR(__xludf.DUMMYFUNCTION("""COMPUTED_VALUE"""),2.0)</f>
        <v>2</v>
      </c>
      <c r="G36" s="55"/>
      <c r="H36" s="56">
        <f>IFERROR(__xludf.DUMMYFUNCTION("""COMPUTED_VALUE"""),8.0)</f>
        <v>8</v>
      </c>
      <c r="I36" s="57">
        <f>IFERROR(__xludf.DUMMYFUNCTION("""COMPUTED_VALUE"""),1.0)</f>
        <v>1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IFERROR(__xludf.DUMMYFUNCTION("""COMPUTED_VALUE"""),4.0)</f>
        <v>4</v>
      </c>
      <c r="F37" s="54">
        <f>IFERROR(__xludf.DUMMYFUNCTION("""COMPUTED_VALUE"""),2.0)</f>
        <v>2</v>
      </c>
      <c r="G37" s="55"/>
      <c r="H37" s="56">
        <f>IFERROR(__xludf.DUMMYFUNCTION("""COMPUTED_VALUE"""),6.0)</f>
        <v>6</v>
      </c>
      <c r="I37" s="57">
        <f>IFERROR(__xludf.DUMMYFUNCTION("""COMPUTED_VALUE"""),0.0)</f>
        <v>0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IFERROR(__xludf.DUMMYFUNCTION("""COMPUTED_VALUE"""),6.0)</f>
        <v>6</v>
      </c>
      <c r="F38" s="54">
        <f>IFERROR(__xludf.DUMMYFUNCTION("""COMPUTED_VALUE"""),2.0)</f>
        <v>2</v>
      </c>
      <c r="G38" s="55"/>
      <c r="H38" s="56">
        <f>IFERROR(__xludf.DUMMYFUNCTION("""COMPUTED_VALUE"""),8.0)</f>
        <v>8</v>
      </c>
      <c r="I38" s="57">
        <f>IFERROR(__xludf.DUMMYFUNCTION("""COMPUTED_VALUE"""),0.0)</f>
        <v>0</v>
      </c>
      <c r="J38" s="58">
        <f>IFERROR(__xludf.DUMMYFUNCTION("""COMPUTED_VALUE"""),8.0)</f>
        <v>8</v>
      </c>
      <c r="K38" s="51"/>
      <c r="L38" s="60">
        <f>IFERROR(__xludf.DUMMYFUNCTION("""COMPUTED_VALUE"""),8.0)</f>
        <v>8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IFERROR(__xludf.DUMMYFUNCTION("""COMPUTED_VALUE"""),7.0)</f>
        <v>7</v>
      </c>
      <c r="F39" s="54">
        <f>IFERROR(__xludf.DUMMYFUNCTION("""COMPUTED_VALUE"""),2.0)</f>
        <v>2</v>
      </c>
      <c r="G39" s="55"/>
      <c r="H39" s="56">
        <f>IFERROR(__xludf.DUMMYFUNCTION("""COMPUTED_VALUE"""),9.0)</f>
        <v>9</v>
      </c>
      <c r="I39" s="57">
        <f>IFERROR(__xludf.DUMMYFUNCTION("""COMPUTED_VALUE"""),0.0)</f>
        <v>0</v>
      </c>
      <c r="J39" s="58">
        <f>IFERROR(__xludf.DUMMYFUNCTION("""COMPUTED_VALUE"""),9.0)</f>
        <v>9</v>
      </c>
      <c r="K39" s="51"/>
      <c r="L39" s="60">
        <f>IFERROR(__xludf.DUMMYFUNCTION("""COMPUTED_VALUE"""),9.0)</f>
        <v>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IFERROR(__xludf.DUMMYFUNCTION("""COMPUTED_VALUE"""),7.0)</f>
        <v>7</v>
      </c>
      <c r="F40" s="54">
        <f>IFERROR(__xludf.DUMMYFUNCTION("""COMPUTED_VALUE"""),2.0)</f>
        <v>2</v>
      </c>
      <c r="G40" s="55"/>
      <c r="H40" s="56">
        <f>IFERROR(__xludf.DUMMYFUNCTION("""COMPUTED_VALUE"""),9.0)</f>
        <v>9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IFERROR(__xludf.DUMMYFUNCTION("""COMPUTED_VALUE"""),5.0)</f>
        <v>5</v>
      </c>
      <c r="F41" s="54">
        <f>IFERROR(__xludf.DUMMYFUNCTION("""COMPUTED_VALUE"""),2.0)</f>
        <v>2</v>
      </c>
      <c r="G41" s="55"/>
      <c r="H41" s="56">
        <f>IFERROR(__xludf.DUMMYFUNCTION("""COMPUTED_VALUE"""),7.0)</f>
        <v>7</v>
      </c>
      <c r="I41" s="57">
        <f>IFERROR(__xludf.DUMMYFUNCTION("""COMPUTED_VALUE"""),1.0)</f>
        <v>1</v>
      </c>
      <c r="J41" s="58">
        <f>IFERROR(__xludf.DUMMYFUNCTION("""COMPUTED_VALUE"""),7.0)</f>
        <v>7</v>
      </c>
      <c r="K41" s="51"/>
      <c r="L41" s="60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IFERROR(__xludf.DUMMYFUNCTION("""COMPUTED_VALUE"""),5.0)</f>
        <v>5</v>
      </c>
      <c r="F42" s="54">
        <f>IFERROR(__xludf.DUMMYFUNCTION("""COMPUTED_VALUE"""),2.0)</f>
        <v>2</v>
      </c>
      <c r="G42" s="55"/>
      <c r="H42" s="56">
        <f>IFERROR(__xludf.DUMMYFUNCTION("""COMPUTED_VALUE"""),7.0)</f>
        <v>7</v>
      </c>
      <c r="I42" s="57">
        <f>IFERROR(__xludf.DUMMYFUNCTION("""COMPUTED_VALUE"""),0.0)</f>
        <v>0</v>
      </c>
      <c r="J42" s="58">
        <f>IFERROR(__xludf.DUMMYFUNCTION("""COMPUTED_VALUE"""),7.0)</f>
        <v>7</v>
      </c>
      <c r="K42" s="51"/>
      <c r="L42" s="60">
        <f>IFERROR(__xludf.DUMMYFUNCTION("""COMPUTED_VALUE"""),7.0)</f>
        <v>7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IFERROR(__xludf.DUMMYFUNCTION("""COMPUTED_VALUE"""),3.0)</f>
        <v>3</v>
      </c>
      <c r="F43" s="54">
        <f>IFERROR(__xludf.DUMMYFUNCTION("""COMPUTED_VALUE"""),2.0)</f>
        <v>2</v>
      </c>
      <c r="G43" s="55"/>
      <c r="H43" s="56">
        <f>IFERROR(__xludf.DUMMYFUNCTION("""COMPUTED_VALUE"""),5.0)</f>
        <v>5</v>
      </c>
      <c r="I43" s="57">
        <f>IFERROR(__xludf.DUMMYFUNCTION("""COMPUTED_VALUE"""),1.0)</f>
        <v>1</v>
      </c>
      <c r="J43" s="58">
        <f>IFERROR(__xludf.DUMMYFUNCTION("""COMPUTED_VALUE"""),5.0)</f>
        <v>5</v>
      </c>
      <c r="K43" s="51"/>
      <c r="L43" s="60">
        <f>IFERROR(__xludf.DUMMYFUNCTION("""COMPUTED_VALUE"""),5.0)</f>
        <v>5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IFERROR(__xludf.DUMMYFUNCTION("""COMPUTED_VALUE"""),7.0)</f>
        <v>7</v>
      </c>
      <c r="F44" s="54">
        <f>IFERROR(__xludf.DUMMYFUNCTION("""COMPUTED_VALUE"""),2.0)</f>
        <v>2</v>
      </c>
      <c r="G44" s="55"/>
      <c r="H44" s="56">
        <f>IFERROR(__xludf.DUMMYFUNCTION("""COMPUTED_VALUE"""),9.0)</f>
        <v>9</v>
      </c>
      <c r="I44" s="57">
        <f>IFERROR(__xludf.DUMMYFUNCTION("""COMPUTED_VALUE"""),1.0)</f>
        <v>1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IFERROR(__xludf.DUMMYFUNCTION("""COMPUTED_VALUE"""),7.0)</f>
        <v>7</v>
      </c>
      <c r="F45" s="54">
        <f>IFERROR(__xludf.DUMMYFUNCTION("""COMPUTED_VALUE"""),2.0)</f>
        <v>2</v>
      </c>
      <c r="G45" s="55"/>
      <c r="H45" s="56">
        <f>IFERROR(__xludf.DUMMYFUNCTION("""COMPUTED_VALUE"""),9.0)</f>
        <v>9</v>
      </c>
      <c r="I45" s="57">
        <f>IFERROR(__xludf.DUMMYFUNCTION("""COMPUTED_VALUE"""),1.0)</f>
        <v>1</v>
      </c>
      <c r="J45" s="58">
        <f>IFERROR(__xludf.DUMMYFUNCTION("""COMPUTED_VALUE"""),9.0)</f>
        <v>9</v>
      </c>
      <c r="K45" s="51"/>
      <c r="L45" s="60">
        <f>IFERROR(__xludf.DUMMYFUNCTION("""COMPUTED_VALUE"""),9.0)</f>
        <v>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IFERROR(__xludf.DUMMYFUNCTION("""COMPUTED_VALUE"""),9.0)</f>
        <v>9</v>
      </c>
      <c r="I46" s="57">
        <f>IFERROR(__xludf.DUMMYFUNCTION("""COMPUTED_VALUE"""),0.0)</f>
        <v>0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IFERROR(__xludf.DUMMYFUNCTION("""COMPUTED_VALUE"""),5.0)</f>
        <v>5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IFERROR(__xludf.DUMMYFUNCTION("""COMPUTED_VALUE"""),8.0)</f>
        <v>8</v>
      </c>
      <c r="I47" s="57">
        <f>IFERROR(__xludf.DUMMYFUNCTION("""COMPUTED_VALUE"""),1.0)</f>
        <v>1</v>
      </c>
      <c r="J47" s="58">
        <f>IFERROR(__xludf.DUMMYFUNCTION("""COMPUTED_VALUE"""),8.0)</f>
        <v>8</v>
      </c>
      <c r="K47" s="51"/>
      <c r="L47" s="60">
        <f>IFERROR(__xludf.DUMMYFUNCTION("""COMPUTED_VALUE"""),8.0)</f>
        <v>8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IFERROR(__xludf.DUMMYFUNCTION("""COMPUTED_VALUE"""),4.0)</f>
        <v>4</v>
      </c>
      <c r="F48" s="54">
        <f>IFERROR(__xludf.DUMMYFUNCTION("""COMPUTED_VALUE"""),2.0)</f>
        <v>2</v>
      </c>
      <c r="G48" s="55"/>
      <c r="H48" s="56">
        <f>IFERROR(__xludf.DUMMYFUNCTION("""COMPUTED_VALUE"""),6.0)</f>
        <v>6</v>
      </c>
      <c r="I48" s="57">
        <f>IFERROR(__xludf.DUMMYFUNCTION("""COMPUTED_VALUE"""),1.0)</f>
        <v>1</v>
      </c>
      <c r="J48" s="58">
        <f>IFERROR(__xludf.DUMMYFUNCTION("""COMPUTED_VALUE"""),6.0)</f>
        <v>6</v>
      </c>
      <c r="K48" s="51"/>
      <c r="L48" s="60">
        <f>IFERROR(__xludf.DUMMYFUNCTION("""COMPUTED_VALUE"""),6.0)</f>
        <v>6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/>
      <c r="H49" s="56">
        <f>IFERROR(__xludf.DUMMYFUNCTION("""COMPUTED_VALUE"""),9.0)</f>
        <v>9</v>
      </c>
      <c r="I49" s="57">
        <f>IFERROR(__xludf.DUMMYFUNCTION("""COMPUTED_VALUE"""),0.0)</f>
        <v>0</v>
      </c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IFERROR(__xludf.DUMMYFUNCTION("""COMPUTED_VALUE"""),7.0)</f>
        <v>7</v>
      </c>
      <c r="F50" s="54">
        <f>IFERROR(__xludf.DUMMYFUNCTION("""COMPUTED_VALUE"""),2.0)</f>
        <v>2</v>
      </c>
      <c r="G50" s="55"/>
      <c r="H50" s="56">
        <f>IFERROR(__xludf.DUMMYFUNCTION("""COMPUTED_VALUE"""),9.0)</f>
        <v>9</v>
      </c>
      <c r="I50" s="57">
        <f>IFERROR(__xludf.DUMMYFUNCTION("""COMPUTED_VALUE"""),0.0)</f>
        <v>0</v>
      </c>
      <c r="J50" s="58">
        <f>IFERROR(__xludf.DUMMYFUNCTION("""COMPUTED_VALUE"""),9.0)</f>
        <v>9</v>
      </c>
      <c r="K50" s="51"/>
      <c r="L50" s="60">
        <f>IFERROR(__xludf.DUMMYFUNCTION("""COMPUTED_VALUE"""),9.0)</f>
        <v>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IFERROR(__xludf.DUMMYFUNCTION("""COMPUTED_VALUE"""),5.0)</f>
        <v>5</v>
      </c>
      <c r="F51" s="54">
        <f>IFERROR(__xludf.DUMMYFUNCTION("""COMPUTED_VALUE"""),2.0)</f>
        <v>2</v>
      </c>
      <c r="G51" s="55"/>
      <c r="H51" s="56">
        <f>IFERROR(__xludf.DUMMYFUNCTION("""COMPUTED_VALUE"""),7.0)</f>
        <v>7</v>
      </c>
      <c r="I51" s="57">
        <f>IFERROR(__xludf.DUMMYFUNCTION("""COMPUTED_VALUE"""),0.0)</f>
        <v>0</v>
      </c>
      <c r="J51" s="58">
        <f>IFERROR(__xludf.DUMMYFUNCTION("""COMPUTED_VALUE"""),7.0)</f>
        <v>7</v>
      </c>
      <c r="K51" s="51"/>
      <c r="L51" s="60">
        <f>IFERROR(__xludf.DUMMYFUNCTION("""COMPUTED_VALUE"""),7.0)</f>
        <v>7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IFERROR(__xludf.DUMMYFUNCTION("""COMPUTED_VALUE"""),6.0)</f>
        <v>6</v>
      </c>
      <c r="F52" s="54">
        <f>IFERROR(__xludf.DUMMYFUNCTION("""COMPUTED_VALUE"""),2.0)</f>
        <v>2</v>
      </c>
      <c r="G52" s="55"/>
      <c r="H52" s="56">
        <f>IFERROR(__xludf.DUMMYFUNCTION("""COMPUTED_VALUE"""),8.0)</f>
        <v>8</v>
      </c>
      <c r="I52" s="57">
        <f>IFERROR(__xludf.DUMMYFUNCTION("""COMPUTED_VALUE"""),0.0)</f>
        <v>0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IFERROR(__xludf.DUMMYFUNCTION("""COMPUTED_VALUE"""),7.0)</f>
        <v>7</v>
      </c>
      <c r="F53" s="54">
        <f>IFERROR(__xludf.DUMMYFUNCTION("""COMPUTED_VALUE"""),2.0)</f>
        <v>2</v>
      </c>
      <c r="G53" s="55"/>
      <c r="H53" s="56">
        <f>IFERROR(__xludf.DUMMYFUNCTION("""COMPUTED_VALUE"""),9.0)</f>
        <v>9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IFERROR(__xludf.DUMMYFUNCTION("""COMPUTED_VALUE"""),5.0)</f>
        <v>5</v>
      </c>
      <c r="F54" s="54">
        <f>IFERROR(__xludf.DUMMYFUNCTION("""COMPUTED_VALUE"""),2.0)</f>
        <v>2</v>
      </c>
      <c r="G54" s="55"/>
      <c r="H54" s="56">
        <f>IFERROR(__xludf.DUMMYFUNCTION("""COMPUTED_VALUE"""),7.0)</f>
        <v>7</v>
      </c>
      <c r="I54" s="57">
        <f>IFERROR(__xludf.DUMMYFUNCTION("""COMPUTED_VALUE"""),1.0)</f>
        <v>1</v>
      </c>
      <c r="J54" s="58">
        <f>IFERROR(__xludf.DUMMYFUNCTION("""COMPUTED_VALUE"""),7.0)</f>
        <v>7</v>
      </c>
      <c r="K54" s="51"/>
      <c r="L54" s="59">
        <f>IFERROR(__xludf.DUMMYFUNCTION("""COMPUTED_VALUE"""),7.0)</f>
        <v>7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/>
      <c r="H55" s="56">
        <f>IFERROR(__xludf.DUMMYFUNCTION("""COMPUTED_VALUE"""),8.0)</f>
        <v>8</v>
      </c>
      <c r="I55" s="61">
        <f>IFERROR(__xludf.DUMMYFUNCTION("""COMPUTED_VALUE"""),0.0)</f>
        <v>0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IFERROR(__xludf.DUMMYFUNCTION("""COMPUTED_VALUE"""),7.0)</f>
        <v>7</v>
      </c>
      <c r="F56" s="54">
        <f>IFERROR(__xludf.DUMMYFUNCTION("""COMPUTED_VALUE"""),2.0)</f>
        <v>2</v>
      </c>
      <c r="G56" s="55"/>
      <c r="H56" s="56">
        <f>IFERROR(__xludf.DUMMYFUNCTION("""COMPUTED_VALUE"""),9.0)</f>
        <v>9</v>
      </c>
      <c r="I56" s="61">
        <f>IFERROR(__xludf.DUMMYFUNCTION("""COMPUTED_VALUE"""),1.0)</f>
        <v>1</v>
      </c>
      <c r="J56" s="58">
        <f>IFERROR(__xludf.DUMMYFUNCTION("""COMPUTED_VALUE"""),9.0)</f>
        <v>9</v>
      </c>
      <c r="K56" s="51"/>
      <c r="L56" s="59">
        <f>IFERROR(__xludf.DUMMYFUNCTION("""COMPUTED_VALUE"""),9.0)</f>
        <v>9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IFERROR(__xludf.DUMMYFUNCTION("""COMPUTED_VALUE"""),5.0)</f>
        <v>5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IFERROR(__xludf.DUMMYFUNCTION("""COMPUTED_VALUE"""),8.0)</f>
        <v>8</v>
      </c>
      <c r="I57" s="61">
        <f>IFERROR(__xludf.DUMMYFUNCTION("""COMPUTED_VALUE"""),0.0)</f>
        <v>0</v>
      </c>
      <c r="J57" s="58">
        <f>IFERROR(__xludf.DUMMYFUNCTION("""COMPUTED_VALUE"""),8.0)</f>
        <v>8</v>
      </c>
      <c r="K57" s="51"/>
      <c r="L57" s="59">
        <f>IFERROR(__xludf.DUMMYFUNCTION("""COMPUTED_VALUE"""),8.0)</f>
        <v>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IFERROR(__xludf.DUMMYFUNCTION("""COMPUTED_VALUE"""),5.0)</f>
        <v>5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IFERROR(__xludf.DUMMYFUNCTION("""COMPUTED_VALUE"""),8.0)</f>
        <v>8</v>
      </c>
      <c r="I58" s="61">
        <f>IFERROR(__xludf.DUMMYFUNCTION("""COMPUTED_VALUE"""),0.0)</f>
        <v>0</v>
      </c>
      <c r="J58" s="58">
        <f>IFERROR(__xludf.DUMMYFUNCTION("""COMPUTED_VALUE"""),8.0)</f>
        <v>8</v>
      </c>
      <c r="K58" s="51"/>
      <c r="L58" s="59">
        <f>IFERROR(__xludf.DUMMYFUNCTION("""COMPUTED_VALUE"""),8.0)</f>
        <v>8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IFERROR(__xludf.DUMMYFUNCTION("""COMPUTED_VALUE"""),9.0)</f>
        <v>9</v>
      </c>
      <c r="I59" s="61">
        <f>IFERROR(__xludf.DUMMYFUNCTION("""COMPUTED_VALUE"""),1.0)</f>
        <v>1</v>
      </c>
      <c r="J59" s="58">
        <f>IFERROR(__xludf.DUMMYFUNCTION("""COMPUTED_VALUE"""),9.0)</f>
        <v>9</v>
      </c>
      <c r="K59" s="51"/>
      <c r="L59" s="59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IFERROR(__xludf.DUMMYFUNCTION("""COMPUTED_VALUE"""),7.0)</f>
        <v>7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IFERROR(__xludf.DUMMYFUNCTION("""COMPUTED_VALUE"""),3.0)</f>
        <v>3</v>
      </c>
      <c r="F61" s="54">
        <f>IFERROR(__xludf.DUMMYFUNCTION("""COMPUTED_VALUE"""),2.0)</f>
        <v>2</v>
      </c>
      <c r="G61" s="55"/>
      <c r="H61" s="56">
        <f>IFERROR(__xludf.DUMMYFUNCTION("""COMPUTED_VALUE"""),5.0)</f>
        <v>5</v>
      </c>
      <c r="I61" s="61">
        <f>IFERROR(__xludf.DUMMYFUNCTION("""COMPUTED_VALUE"""),1.0)</f>
        <v>1</v>
      </c>
      <c r="J61" s="58">
        <f>IFERROR(__xludf.DUMMYFUNCTION("""COMPUTED_VALUE"""),5.0)</f>
        <v>5</v>
      </c>
      <c r="K61" s="51"/>
      <c r="L61" s="59">
        <f>IFERROR(__xludf.DUMMYFUNCTION("""COMPUTED_VALUE"""),5.0)</f>
        <v>5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IFERROR(__xludf.DUMMYFUNCTION("""COMPUTED_VALUE"""),42.0)</f>
        <v>42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IFERROR(__xludf.DUMMYFUNCTION("""COMPUTED_VALUE"""),3.0)</f>
        <v>3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IFERROR(__xludf.DUMMYFUNCTION("""COMPUTED_VALUE"""),93.33333333333333)</f>
        <v>93.33333333</v>
      </c>
      <c r="E68" s="114" t="str">
        <f>IFERROR(__xludf.DUMMYFUNCTION("""COMPUTED_VALUE"""),"PROFRA. MARIA DE LOS ANGELES RENATA HERNÁNDEZ GONZÁLEZ ")</f>
        <v>PROFRA. MARIA DE LOS ANGELES RENATA HERNÁNDEZ GONZÁLEZ </v>
      </c>
      <c r="F68" s="115"/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IFERROR(__xludf.DUMMYFUNCTION("""COMPUTED_VALUE"""),8.044444444444444)</f>
        <v>8.044444444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IFERROR(__xludf.DUMMYFUNCTION("IMPORTRANGE(""https://docs.google.com/spreadsheets/d/1Ggu00VW922tLGbyIEOu4GFMxFoUoQ4O-ziVzg8amnZc/edit?gid=868681460#gid=868681460"",""3-1 diseño digital!A1:Q85"")"),"")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IFERROR(__xludf.DUMMYFUNCTION("""COMPUTED_VALUE"""),"FRANCISCO  JESUS CRUZ GARCIA ")</f>
        <v>FRANCISCO  JESUS CRUZ GARCIA 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IFERROR(__xludf.DUMMYFUNCTION("""COMPUTED_VALUE"""),"DISEÑO DIGITAL")</f>
        <v>DISEÑO DIGITAL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IFERROR(__xludf.DUMMYFUNCTION("""COMPUTED_VALUE"""),11.0)</f>
        <v>11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IFERROR(__xludf.DUMMYFUNCTION("""COMPUTED_VALUE"""),11.0)</f>
        <v>11</v>
      </c>
      <c r="M18" s="1" t="str">
        <f>IFERROR(__xludf.DUMMYFUNCTION("""COMPUTED_VALUE"""),"Febrero")</f>
        <v>Febrero</v>
      </c>
      <c r="N18" s="1">
        <f>IFERROR(__xludf.DUMMYFUNCTION("""COMPUTED_VALUE"""),8.0)</f>
        <v>8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IFERROR(__xludf.DUMMYFUNCTION("""COMPUTED_VALUE"""),6.0)</f>
        <v>6</v>
      </c>
      <c r="F19" s="54">
        <f>IFERROR(__xludf.DUMMYFUNCTION("""COMPUTED_VALUE"""),1.0)</f>
        <v>1</v>
      </c>
      <c r="G19" s="55"/>
      <c r="H19" s="56">
        <f>IFERROR(__xludf.DUMMYFUNCTION("""COMPUTED_VALUE"""),7.0)</f>
        <v>7</v>
      </c>
      <c r="I19" s="57">
        <f>IFERROR(__xludf.DUMMYFUNCTION("""COMPUTED_VALUE"""),2.0)</f>
        <v>2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IFERROR(__xludf.DUMMYFUNCTION("""COMPUTED_VALUE"""),16.0)</f>
        <v>16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IFERROR(__xludf.DUMMYFUNCTION("""COMPUTED_VALUE"""),11.0)</f>
        <v>11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IFERROR(__xludf.DUMMYFUNCTION("""COMPUTED_VALUE"""),11.0)</f>
        <v>11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IFERROR(__xludf.DUMMYFUNCTION("""COMPUTED_VALUE"""),6.0)</f>
        <v>6</v>
      </c>
      <c r="F21" s="54">
        <f>IFERROR(__xludf.DUMMYFUNCTION("""COMPUTED_VALUE"""),1.0)</f>
        <v>1</v>
      </c>
      <c r="G21" s="55">
        <f>IFERROR(__xludf.DUMMYFUNCTION("""COMPUTED_VALUE"""),1.0)</f>
        <v>1</v>
      </c>
      <c r="H21" s="56">
        <f>IFERROR(__xludf.DUMMYFUNCTION("""COMPUTED_VALUE"""),8.0)</f>
        <v>8</v>
      </c>
      <c r="I21" s="57">
        <f>IFERROR(__xludf.DUMMYFUNCTION("""COMPUTED_VALUE"""),4.0)</f>
        <v>4</v>
      </c>
      <c r="J21" s="58">
        <f>IFERROR(__xludf.DUMMYFUNCTION("""COMPUTED_VALUE"""),8.0)</f>
        <v>8</v>
      </c>
      <c r="K21" s="51"/>
      <c r="L21" s="60">
        <f>IFERROR(__xludf.DUMMYFUNCTION("""COMPUTED_VALUE"""),8.0)</f>
        <v>8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IFERROR(__xludf.DUMMYFUNCTION("""COMPUTED_VALUE"""),4.0)</f>
        <v>4</v>
      </c>
      <c r="F22" s="54">
        <f>IFERROR(__xludf.DUMMYFUNCTION("""COMPUTED_VALUE"""),2.0)</f>
        <v>2</v>
      </c>
      <c r="G22" s="55"/>
      <c r="H22" s="56">
        <f>IFERROR(__xludf.DUMMYFUNCTION("""COMPUTED_VALUE"""),6.0)</f>
        <v>6</v>
      </c>
      <c r="I22" s="57">
        <f>IFERROR(__xludf.DUMMYFUNCTION("""COMPUTED_VALUE"""),4.0)</f>
        <v>4</v>
      </c>
      <c r="J22" s="58">
        <f>IFERROR(__xludf.DUMMYFUNCTION("""COMPUTED_VALUE"""),6.0)</f>
        <v>6</v>
      </c>
      <c r="K22" s="51"/>
      <c r="L22" s="60">
        <f>IFERROR(__xludf.DUMMYFUNCTION("""COMPUTED_VALUE"""),6.0)</f>
        <v>6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IFERROR(__xludf.DUMMYFUNCTION("""COMPUTED_VALUE"""),7.0)</f>
        <v>7</v>
      </c>
      <c r="F23" s="54">
        <f>IFERROR(__xludf.DUMMYFUNCTION("""COMPUTED_VALUE"""),1.0)</f>
        <v>1</v>
      </c>
      <c r="G23" s="55"/>
      <c r="H23" s="56">
        <f>IFERROR(__xludf.DUMMYFUNCTION("""COMPUTED_VALUE"""),8.0)</f>
        <v>8</v>
      </c>
      <c r="I23" s="57">
        <f>IFERROR(__xludf.DUMMYFUNCTION("""COMPUTED_VALUE"""),0.0)</f>
        <v>0</v>
      </c>
      <c r="J23" s="58">
        <f>IFERROR(__xludf.DUMMYFUNCTION("""COMPUTED_VALUE"""),8.0)</f>
        <v>8</v>
      </c>
      <c r="K23" s="51"/>
      <c r="L23" s="60">
        <f>IFERROR(__xludf.DUMMYFUNCTION("""COMPUTED_VALUE"""),8.0)</f>
        <v>8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IFERROR(__xludf.DUMMYFUNCTION("""COMPUTED_VALUE"""),3.0)</f>
        <v>3</v>
      </c>
      <c r="F24" s="54">
        <f>IFERROR(__xludf.DUMMYFUNCTION("""COMPUTED_VALUE"""),2.0)</f>
        <v>2</v>
      </c>
      <c r="G24" s="55"/>
      <c r="H24" s="56">
        <f>IFERROR(__xludf.DUMMYFUNCTION("""COMPUTED_VALUE"""),5.0)</f>
        <v>5</v>
      </c>
      <c r="I24" s="57">
        <f>IFERROR(__xludf.DUMMYFUNCTION("""COMPUTED_VALUE"""),0.0)</f>
        <v>0</v>
      </c>
      <c r="J24" s="58">
        <f>IFERROR(__xludf.DUMMYFUNCTION("""COMPUTED_VALUE"""),5.0)</f>
        <v>5</v>
      </c>
      <c r="K24" s="51"/>
      <c r="L24" s="60">
        <f>IFERROR(__xludf.DUMMYFUNCTION("""COMPUTED_VALUE"""),5.0)</f>
        <v>5</v>
      </c>
      <c r="M24" s="1" t="str">
        <f>IFERROR(__xludf.DUMMYFUNCTION("""COMPUTED_VALUE"""),"TOTAL")</f>
        <v>TOTAL</v>
      </c>
      <c r="N24" s="1">
        <f>IFERROR(__xludf.DUMMYFUNCTION("""COMPUTED_VALUE"""),24.0)</f>
        <v>24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IFERROR(__xludf.DUMMYFUNCTION("""COMPUTED_VALUE"""),6.0)</f>
        <v>6</v>
      </c>
      <c r="F27" s="54">
        <f>IFERROR(__xludf.DUMMYFUNCTION("""COMPUTED_VALUE"""),2.0)</f>
        <v>2</v>
      </c>
      <c r="G27" s="55"/>
      <c r="H27" s="56">
        <f>IFERROR(__xludf.DUMMYFUNCTION("""COMPUTED_VALUE"""),8.0)</f>
        <v>8</v>
      </c>
      <c r="I27" s="57">
        <f>IFERROR(__xludf.DUMMYFUNCTION("""COMPUTED_VALUE"""),0.0)</f>
        <v>0</v>
      </c>
      <c r="J27" s="58">
        <f>IFERROR(__xludf.DUMMYFUNCTION("""COMPUTED_VALUE"""),8.0)</f>
        <v>8</v>
      </c>
      <c r="K27" s="51"/>
      <c r="L27" s="60">
        <f>IFERROR(__xludf.DUMMYFUNCTION("""COMPUTED_VALUE"""),8.0)</f>
        <v>8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/>
      <c r="H28" s="56">
        <f>IFERROR(__xludf.DUMMYFUNCTION("""COMPUTED_VALUE"""),9.0)</f>
        <v>9</v>
      </c>
      <c r="I28" s="57">
        <f>IFERROR(__xludf.DUMMYFUNCTION("""COMPUTED_VALUE"""),0.0)</f>
        <v>0</v>
      </c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IFERROR(__xludf.DUMMYFUNCTION("""COMPUTED_VALUE"""),1.0)</f>
        <v>1</v>
      </c>
      <c r="G29" s="55">
        <f>IFERROR(__xludf.DUMMYFUNCTION("""COMPUTED_VALUE"""),1.0)</f>
        <v>1</v>
      </c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IFERROR(__xludf.DUMMYFUNCTION("""COMPUTED_VALUE"""),8.0)</f>
        <v>8</v>
      </c>
      <c r="F30" s="54">
        <f>IFERROR(__xludf.DUMMYFUNCTION("""COMPUTED_VALUE"""),1.0)</f>
        <v>1</v>
      </c>
      <c r="G30" s="55">
        <f>IFERROR(__xludf.DUMMYFUNCTION("""COMPUTED_VALUE"""),1.0)</f>
        <v>1</v>
      </c>
      <c r="H30" s="56">
        <f>IFERROR(__xludf.DUMMYFUNCTION("""COMPUTED_VALUE"""),10.0)</f>
        <v>10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IFERROR(__xludf.DUMMYFUNCTION("""COMPUTED_VALUE"""),4.0)</f>
        <v>4</v>
      </c>
      <c r="F31" s="54">
        <f>IFERROR(__xludf.DUMMYFUNCTION("""COMPUTED_VALUE"""),2.0)</f>
        <v>2</v>
      </c>
      <c r="G31" s="55"/>
      <c r="H31" s="56">
        <f>IFERROR(__xludf.DUMMYFUNCTION("""COMPUTED_VALUE"""),6.0)</f>
        <v>6</v>
      </c>
      <c r="I31" s="57">
        <f>IFERROR(__xludf.DUMMYFUNCTION("""COMPUTED_VALUE"""),4.0)</f>
        <v>4</v>
      </c>
      <c r="J31" s="58">
        <f>IFERROR(__xludf.DUMMYFUNCTION("""COMPUTED_VALUE"""),6.0)</f>
        <v>6</v>
      </c>
      <c r="K31" s="51"/>
      <c r="L31" s="60">
        <f>IFERROR(__xludf.DUMMYFUNCTION("""COMPUTED_VALUE"""),6.0)</f>
        <v>6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IFERROR(__xludf.DUMMYFUNCTION("""COMPUTED_VALUE"""),7.0)</f>
        <v>7</v>
      </c>
      <c r="F33" s="54">
        <f>IFERROR(__xludf.DUMMYFUNCTION("""COMPUTED_VALUE"""),2.0)</f>
        <v>2</v>
      </c>
      <c r="G33" s="55"/>
      <c r="H33" s="56">
        <f>IFERROR(__xludf.DUMMYFUNCTION("""COMPUTED_VALUE"""),9.0)</f>
        <v>9</v>
      </c>
      <c r="I33" s="57">
        <f>IFERROR(__xludf.DUMMYFUNCTION("""COMPUTED_VALUE"""),0.0)</f>
        <v>0</v>
      </c>
      <c r="J33" s="58">
        <f>IFERROR(__xludf.DUMMYFUNCTION("""COMPUTED_VALUE"""),9.0)</f>
        <v>9</v>
      </c>
      <c r="K33" s="51"/>
      <c r="L33" s="60">
        <f>IFERROR(__xludf.DUMMYFUNCTION("""COMPUTED_VALUE"""),9.0)</f>
        <v>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IFERROR(__xludf.DUMMYFUNCTION("""COMPUTED_VALUE"""),0.0)</f>
        <v>0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IFERROR(__xludf.DUMMYFUNCTION("""COMPUTED_VALUE"""),7.0)</f>
        <v>7</v>
      </c>
      <c r="F35" s="54">
        <f>IFERROR(__xludf.DUMMYFUNCTION("""COMPUTED_VALUE"""),1.0)</f>
        <v>1</v>
      </c>
      <c r="G35" s="55"/>
      <c r="H35" s="56">
        <f>IFERROR(__xludf.DUMMYFUNCTION("""COMPUTED_VALUE"""),8.0)</f>
        <v>8</v>
      </c>
      <c r="I35" s="57">
        <f>IFERROR(__xludf.DUMMYFUNCTION("""COMPUTED_VALUE"""),2.0)</f>
        <v>2</v>
      </c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IFERROR(__xludf.DUMMYFUNCTION("""COMPUTED_VALUE"""),6.0)</f>
        <v>6</v>
      </c>
      <c r="F36" s="54">
        <f>IFERROR(__xludf.DUMMYFUNCTION("""COMPUTED_VALUE"""),2.0)</f>
        <v>2</v>
      </c>
      <c r="G36" s="55"/>
      <c r="H36" s="56">
        <f>IFERROR(__xludf.DUMMYFUNCTION("""COMPUTED_VALUE"""),8.0)</f>
        <v>8</v>
      </c>
      <c r="I36" s="57">
        <f>IFERROR(__xludf.DUMMYFUNCTION("""COMPUTED_VALUE"""),2.0)</f>
        <v>2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>
        <f>IFERROR(__xludf.DUMMYFUNCTION("""COMPUTED_VALUE"""),2.0)</f>
        <v>2</v>
      </c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IFERROR(__xludf.DUMMYFUNCTION("""COMPUTED_VALUE"""),7.0)</f>
        <v>7</v>
      </c>
      <c r="F39" s="54">
        <f>IFERROR(__xludf.DUMMYFUNCTION("""COMPUTED_VALUE"""),9.0)</f>
        <v>9</v>
      </c>
      <c r="G39" s="55"/>
      <c r="H39" s="56">
        <f>IFERROR(__xludf.DUMMYFUNCTION("""COMPUTED_VALUE"""),16.0)</f>
        <v>16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IFERROR(__xludf.DUMMYFUNCTION("""COMPUTED_VALUE"""),16.0)</f>
        <v>16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IFERROR(__xludf.DUMMYFUNCTION("""COMPUTED_VALUE"""),7.0)</f>
        <v>7</v>
      </c>
      <c r="F41" s="54">
        <f>IFERROR(__xludf.DUMMYFUNCTION("""COMPUTED_VALUE"""),1.0)</f>
        <v>1</v>
      </c>
      <c r="G41" s="55"/>
      <c r="H41" s="56">
        <f>IFERROR(__xludf.DUMMYFUNCTION("""COMPUTED_VALUE"""),8.0)</f>
        <v>8</v>
      </c>
      <c r="I41" s="57">
        <f>IFERROR(__xludf.DUMMYFUNCTION("""COMPUTED_VALUE"""),4.0)</f>
        <v>4</v>
      </c>
      <c r="J41" s="58">
        <f>IFERROR(__xludf.DUMMYFUNCTION("""COMPUTED_VALUE"""),8.0)</f>
        <v>8</v>
      </c>
      <c r="K41" s="51"/>
      <c r="L41" s="60">
        <f>IFERROR(__xludf.DUMMYFUNCTION("""COMPUTED_VALUE"""),8.0)</f>
        <v>8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IFERROR(__xludf.DUMMYFUNCTION("""COMPUTED_VALUE"""),7.0)</f>
        <v>7</v>
      </c>
      <c r="F42" s="54">
        <f>IFERROR(__xludf.DUMMYFUNCTION("""COMPUTED_VALUE"""),2.0)</f>
        <v>2</v>
      </c>
      <c r="G42" s="55"/>
      <c r="H42" s="56">
        <f>IFERROR(__xludf.DUMMYFUNCTION("""COMPUTED_VALUE"""),9.0)</f>
        <v>9</v>
      </c>
      <c r="I42" s="57">
        <f>IFERROR(__xludf.DUMMYFUNCTION("""COMPUTED_VALUE"""),4.0)</f>
        <v>4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IFERROR(__xludf.DUMMYFUNCTION("""COMPUTED_VALUE"""),7.0)</f>
        <v>7</v>
      </c>
      <c r="F43" s="54">
        <f>IFERROR(__xludf.DUMMYFUNCTION("""COMPUTED_VALUE"""),2.0)</f>
        <v>2</v>
      </c>
      <c r="G43" s="55"/>
      <c r="H43" s="56">
        <f>IFERROR(__xludf.DUMMYFUNCTION("""COMPUTED_VALUE"""),9.0)</f>
        <v>9</v>
      </c>
      <c r="I43" s="57">
        <f>IFERROR(__xludf.DUMMYFUNCTION("""COMPUTED_VALUE"""),2.0)</f>
        <v>2</v>
      </c>
      <c r="J43" s="58">
        <f>IFERROR(__xludf.DUMMYFUNCTION("""COMPUTED_VALUE"""),9.0)</f>
        <v>9</v>
      </c>
      <c r="K43" s="51"/>
      <c r="L43" s="60">
        <f>IFERROR(__xludf.DUMMYFUNCTION("""COMPUTED_VALUE"""),9.0)</f>
        <v>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IFERROR(__xludf.DUMMYFUNCTION("""COMPUTED_VALUE"""),7.0)</f>
        <v>7</v>
      </c>
      <c r="F44" s="54">
        <f>IFERROR(__xludf.DUMMYFUNCTION("""COMPUTED_VALUE"""),2.0)</f>
        <v>2</v>
      </c>
      <c r="G44" s="55"/>
      <c r="H44" s="56">
        <f>IFERROR(__xludf.DUMMYFUNCTION("""COMPUTED_VALUE"""),9.0)</f>
        <v>9</v>
      </c>
      <c r="I44" s="57">
        <f>IFERROR(__xludf.DUMMYFUNCTION("""COMPUTED_VALUE"""),2.0)</f>
        <v>2</v>
      </c>
      <c r="J44" s="58">
        <f>IFERROR(__xludf.DUMMYFUNCTION("""COMPUTED_VALUE"""),9.0)</f>
        <v>9</v>
      </c>
      <c r="K44" s="51"/>
      <c r="L44" s="60">
        <f>IFERROR(__xludf.DUMMYFUNCTION("""COMPUTED_VALUE"""),9.0)</f>
        <v>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IFERROR(__xludf.DUMMYFUNCTION("""COMPUTED_VALUE"""),7.0)</f>
        <v>7</v>
      </c>
      <c r="F46" s="54">
        <f>IFERROR(__xludf.DUMMYFUNCTION("""COMPUTED_VALUE"""),1.0)</f>
        <v>1</v>
      </c>
      <c r="G46" s="55">
        <f>IFERROR(__xludf.DUMMYFUNCTION("""COMPUTED_VALUE"""),1.0)</f>
        <v>1</v>
      </c>
      <c r="H46" s="56">
        <f>IFERROR(__xludf.DUMMYFUNCTION("""COMPUTED_VALUE"""),9.0)</f>
        <v>9</v>
      </c>
      <c r="I46" s="57">
        <f>IFERROR(__xludf.DUMMYFUNCTION("""COMPUTED_VALUE"""),2.0)</f>
        <v>2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IFERROR(__xludf.DUMMYFUNCTION("""COMPUTED_VALUE"""),7.0)</f>
        <v>7</v>
      </c>
      <c r="F47" s="54">
        <f>IFERROR(__xludf.DUMMYFUNCTION("""COMPUTED_VALUE"""),1.0)</f>
        <v>1</v>
      </c>
      <c r="G47" s="55">
        <f>IFERROR(__xludf.DUMMYFUNCTION("""COMPUTED_VALUE"""),1.0)</f>
        <v>1</v>
      </c>
      <c r="H47" s="56">
        <f>IFERROR(__xludf.DUMMYFUNCTION("""COMPUTED_VALUE"""),9.0)</f>
        <v>9</v>
      </c>
      <c r="I47" s="57">
        <f>IFERROR(__xludf.DUMMYFUNCTION("""COMPUTED_VALUE"""),0.0)</f>
        <v>0</v>
      </c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IFERROR(__xludf.DUMMYFUNCTION("""COMPUTED_VALUE"""),6.0)</f>
        <v>6</v>
      </c>
      <c r="F48" s="54">
        <f>IFERROR(__xludf.DUMMYFUNCTION("""COMPUTED_VALUE"""),2.0)</f>
        <v>2</v>
      </c>
      <c r="G48" s="55"/>
      <c r="H48" s="56">
        <f>IFERROR(__xludf.DUMMYFUNCTION("""COMPUTED_VALUE"""),8.0)</f>
        <v>8</v>
      </c>
      <c r="I48" s="57">
        <f>IFERROR(__xludf.DUMMYFUNCTION("""COMPUTED_VALUE"""),2.0)</f>
        <v>2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/>
      <c r="H50" s="56">
        <f>IFERROR(__xludf.DUMMYFUNCTION("""COMPUTED_VALUE"""),8.0)</f>
        <v>8</v>
      </c>
      <c r="I50" s="57">
        <f>IFERROR(__xludf.DUMMYFUNCTION("""COMPUTED_VALUE"""),2.0)</f>
        <v>2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IFERROR(__xludf.DUMMYFUNCTION("""COMPUTED_VALUE"""),7.0)</f>
        <v>7</v>
      </c>
      <c r="F52" s="54">
        <f>IFERROR(__xludf.DUMMYFUNCTION("""COMPUTED_VALUE"""),2.0)</f>
        <v>2</v>
      </c>
      <c r="G52" s="55"/>
      <c r="H52" s="56">
        <f>IFERROR(__xludf.DUMMYFUNCTION("""COMPUTED_VALUE"""),9.0)</f>
        <v>9</v>
      </c>
      <c r="I52" s="57">
        <f>IFERROR(__xludf.DUMMYFUNCTION("""COMPUTED_VALUE"""),0.0)</f>
        <v>0</v>
      </c>
      <c r="J52" s="58">
        <f>IFERROR(__xludf.DUMMYFUNCTION("""COMPUTED_VALUE"""),9.0)</f>
        <v>9</v>
      </c>
      <c r="K52" s="51"/>
      <c r="L52" s="59">
        <f>IFERROR(__xludf.DUMMYFUNCTION("""COMPUTED_VALUE"""),9.0)</f>
        <v>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IFERROR(__xludf.DUMMYFUNCTION("""COMPUTED_VALUE"""),8.0)</f>
        <v>8</v>
      </c>
      <c r="F53" s="54">
        <f>IFERROR(__xludf.DUMMYFUNCTION("""COMPUTED_VALUE"""),1.0)</f>
        <v>1</v>
      </c>
      <c r="G53" s="55"/>
      <c r="H53" s="56">
        <f>IFERROR(__xludf.DUMMYFUNCTION("""COMPUTED_VALUE"""),9.0)</f>
        <v>9</v>
      </c>
      <c r="I53" s="57">
        <f>IFERROR(__xludf.DUMMYFUNCTION("""COMPUTED_VALUE"""),0.0)</f>
        <v>0</v>
      </c>
      <c r="J53" s="58">
        <f>IFERROR(__xludf.DUMMYFUNCTION("""COMPUTED_VALUE"""),9.0)</f>
        <v>9</v>
      </c>
      <c r="K53" s="51"/>
      <c r="L53" s="59">
        <f>IFERROR(__xludf.DUMMYFUNCTION("""COMPUTED_VALUE"""),9.0)</f>
        <v>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IFERROR(__xludf.DUMMYFUNCTION("""COMPUTED_VALUE"""),7.0)</f>
        <v>7</v>
      </c>
      <c r="F54" s="54">
        <f>IFERROR(__xludf.DUMMYFUNCTION("""COMPUTED_VALUE"""),1.0)</f>
        <v>1</v>
      </c>
      <c r="G54" s="55"/>
      <c r="H54" s="56">
        <f>IFERROR(__xludf.DUMMYFUNCTION("""COMPUTED_VALUE"""),8.0)</f>
        <v>8</v>
      </c>
      <c r="I54" s="57">
        <f>IFERROR(__xludf.DUMMYFUNCTION("""COMPUTED_VALUE"""),0.0)</f>
        <v>0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IFERROR(__xludf.DUMMYFUNCTION("""COMPUTED_VALUE"""),6.0)</f>
        <v>6</v>
      </c>
      <c r="F55" s="54">
        <f>IFERROR(__xludf.DUMMYFUNCTION("""COMPUTED_VALUE"""),2.0)</f>
        <v>2</v>
      </c>
      <c r="G55" s="55"/>
      <c r="H55" s="56">
        <f>IFERROR(__xludf.DUMMYFUNCTION("""COMPUTED_VALUE"""),8.0)</f>
        <v>8</v>
      </c>
      <c r="I55" s="61">
        <f>IFERROR(__xludf.DUMMYFUNCTION("""COMPUTED_VALUE"""),2.0)</f>
        <v>2</v>
      </c>
      <c r="J55" s="58">
        <f>IFERROR(__xludf.DUMMYFUNCTION("""COMPUTED_VALUE"""),8.0)</f>
        <v>8</v>
      </c>
      <c r="K55" s="51"/>
      <c r="L55" s="59">
        <f>IFERROR(__xludf.DUMMYFUNCTION("""COMPUTED_VALUE"""),8.0)</f>
        <v>8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IFERROR(__xludf.DUMMYFUNCTION("""COMPUTED_VALUE"""),8.0)</f>
        <v>8</v>
      </c>
      <c r="F56" s="54">
        <f>IFERROR(__xludf.DUMMYFUNCTION("""COMPUTED_VALUE"""),2.0)</f>
        <v>2</v>
      </c>
      <c r="G56" s="55"/>
      <c r="H56" s="56">
        <f>IFERROR(__xludf.DUMMYFUNCTION("""COMPUTED_VALUE"""),10.0)</f>
        <v>10</v>
      </c>
      <c r="I56" s="61">
        <f>IFERROR(__xludf.DUMMYFUNCTION("""COMPUTED_VALUE"""),2.0)</f>
        <v>2</v>
      </c>
      <c r="J56" s="58">
        <f>IFERROR(__xludf.DUMMYFUNCTION("""COMPUTED_VALUE"""),10.0)</f>
        <v>10</v>
      </c>
      <c r="K56" s="51"/>
      <c r="L56" s="59">
        <f>IFERROR(__xludf.DUMMYFUNCTION("""COMPUTED_VALUE"""),10.0)</f>
        <v>10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IFERROR(__xludf.DUMMYFUNCTION("""COMPUTED_VALUE"""),11.0)</f>
        <v>11</v>
      </c>
      <c r="I57" s="61">
        <f>IFERROR(__xludf.DUMMYFUNCTION("""COMPUTED_VALUE"""),4.0)</f>
        <v>4</v>
      </c>
      <c r="J57" s="58">
        <f>IFERROR(__xludf.DUMMYFUNCTION("""COMPUTED_VALUE"""),10.0)</f>
        <v>10</v>
      </c>
      <c r="K57" s="51"/>
      <c r="L57" s="59">
        <f>IFERROR(__xludf.DUMMYFUNCTION("""COMPUTED_VALUE"""),11.0)</f>
        <v>11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IFERROR(__xludf.DUMMYFUNCTION("""COMPUTED_VALUE"""),11.0)</f>
        <v>11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IFERROR(__xludf.DUMMYFUNCTION("""COMPUTED_VALUE"""),11.0)</f>
        <v>11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IFERROR(__xludf.DUMMYFUNCTION("""COMPUTED_VALUE"""),7.0)</f>
        <v>7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IFERROR(__xludf.DUMMYFUNCTION("""COMPUTED_VALUE"""),10.0)</f>
        <v>10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IFERROR(__xludf.DUMMYFUNCTION("""COMPUTED_VALUE"""),11.0)</f>
        <v>11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IFERROR(__xludf.DUMMYFUNCTION("""COMPUTED_VALUE"""),11.0)</f>
        <v>11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IFERROR(__xludf.DUMMYFUNCTION("""COMPUTED_VALUE"""),6.0)</f>
        <v>6</v>
      </c>
      <c r="F61" s="54">
        <f>IFERROR(__xludf.DUMMYFUNCTION("""COMPUTED_VALUE"""),1.0)</f>
        <v>1</v>
      </c>
      <c r="G61" s="55"/>
      <c r="H61" s="56">
        <f>IFERROR(__xludf.DUMMYFUNCTION("""COMPUTED_VALUE"""),7.0)</f>
        <v>7</v>
      </c>
      <c r="I61" s="61">
        <f>IFERROR(__xludf.DUMMYFUNCTION("""COMPUTED_VALUE"""),4.0)</f>
        <v>4</v>
      </c>
      <c r="J61" s="58">
        <f>IFERROR(__xludf.DUMMYFUNCTION("""COMPUTED_VALUE"""),7.0)</f>
        <v>7</v>
      </c>
      <c r="K61" s="51"/>
      <c r="L61" s="59">
        <f>IFERROR(__xludf.DUMMYFUNCTION("""COMPUTED_VALUE"""),7.0)</f>
        <v>7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IFERROR(__xludf.DUMMYFUNCTION("""COMPUTED_VALUE"""),44.0)</f>
        <v>44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IFERROR(__xludf.DUMMYFUNCTION("""COMPUTED_VALUE"""),1.0)</f>
        <v>1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IFERROR(__xludf.DUMMYFUNCTION("""COMPUTED_VALUE"""),97.77777777777777)</f>
        <v>97.77777778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IFERROR(__xludf.DUMMYFUNCTION("""COMPUTED_VALUE"""),8.88888888888889)</f>
        <v>8.888888889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8:D28 B30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8:D28 B30:D30">
    <cfRule type="cellIs" dxfId="0" priority="2" operator="equal">
      <formula>1</formula>
    </cfRule>
  </conditionalFormatting>
  <conditionalFormatting sqref="B29:D29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29">
    <cfRule type="cellIs" dxfId="0" priority="4" operator="equal">
      <formula>1</formula>
    </cfRule>
  </conditionalFormatting>
  <conditionalFormatting sqref="B30:D30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6" operator="equal">
      <formula>1</formula>
    </cfRule>
  </conditionalFormatting>
  <conditionalFormatting sqref="J17:J69 K17:K67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IFERROR(__xludf.DUMMYFUNCTION("IMPORTRANGE(""https://docs.google.com/spreadsheets/d/1G21Rae1HEvKyziJfdvU9KNUk-9v3MIQn0XxsBZDk7Uk/edit?gid=488063956#gid=488063956"",""3-1 actividades artisticas y culturales iii 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IFERROR(__xludf.DUMMYFUNCTION("""COMPUTED_VALUE"""),"Claudia Ivone Torres Moreno")</f>
        <v>Claudia Ivone Torres Moreno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IFERROR(__xludf.DUMMYFUNCTION("""COMPUTED_VALUE"""),"ACTIVIDADES ARTÍSTICAS Y CULTURALES")</f>
        <v>ACTIVIDADES ARTÍSTICAS Y CULTURALES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/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/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IFERROR(__xludf.DUMMYFUNCTION("""COMPUTED_VALUE"""),6.0)</f>
        <v>6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IFERROR(__xludf.DUMMYFUNCTION("""COMPUTED_VALUE"""),3.8)</f>
        <v>3.8</v>
      </c>
      <c r="F19" s="54">
        <f>IFERROR(__xludf.DUMMYFUNCTION("""COMPUTED_VALUE"""),0.0)</f>
        <v>0</v>
      </c>
      <c r="G19" s="55"/>
      <c r="H19" s="56">
        <f>IFERROR(__xludf.DUMMYFUNCTION("""COMPUTED_VALUE"""),3.8)</f>
        <v>3.8</v>
      </c>
      <c r="I19" s="57">
        <f>IFERROR(__xludf.DUMMYFUNCTION("""COMPUTED_VALUE"""),0.0)</f>
        <v>0</v>
      </c>
      <c r="J19" s="58">
        <f>IFERROR(__xludf.DUMMYFUNCTION("""COMPUTED_VALUE"""),5.0)</f>
        <v>5</v>
      </c>
      <c r="K19" s="51"/>
      <c r="L19" s="60">
        <f>IFERROR(__xludf.DUMMYFUNCTION("""COMPUTED_VALUE"""),3.0)</f>
        <v>3</v>
      </c>
      <c r="M19" s="1" t="str">
        <f>IFERROR(__xludf.DUMMYFUNCTION("""COMPUTED_VALUE"""),"Marzo")</f>
        <v>Marzo</v>
      </c>
      <c r="N19" s="1">
        <f>IFERROR(__xludf.DUMMYFUNCTION("""COMPUTED_VALUE"""),6.0)</f>
        <v>6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IFERROR(__xludf.DUMMYFUNCTION("""COMPUTED_VALUE"""),6.0)</f>
        <v>6</v>
      </c>
      <c r="F20" s="54">
        <f>IFERROR(__xludf.DUMMYFUNCTION("""COMPUTED_VALUE"""),2.0)</f>
        <v>2</v>
      </c>
      <c r="G20" s="55"/>
      <c r="H20" s="56">
        <f>IFERROR(__xludf.DUMMYFUNCTION("""COMPUTED_VALUE"""),8.0)</f>
        <v>8</v>
      </c>
      <c r="I20" s="57">
        <f>IFERROR(__xludf.DUMMYFUNCTION("""COMPUTED_VALUE"""),0.0)</f>
        <v>0</v>
      </c>
      <c r="J20" s="58">
        <f>IFERROR(__xludf.DUMMYFUNCTION("""COMPUTED_VALUE"""),8.0)</f>
        <v>8</v>
      </c>
      <c r="K20" s="51"/>
      <c r="L20" s="60">
        <f>IFERROR(__xludf.DUMMYFUNCTION("""COMPUTED_VALUE"""),8.0)</f>
        <v>8</v>
      </c>
      <c r="M20" s="1" t="str">
        <f>IFERROR(__xludf.DUMMYFUNCTION("""COMPUTED_VALUE"""),"Abril")</f>
        <v>Abril</v>
      </c>
      <c r="N20" s="1">
        <f>IFERROR(__xludf.DUMMYFUNCTION("""COMPUTED_VALUE"""),4.0)</f>
        <v>4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IFERROR(__xludf.DUMMYFUNCTION("""COMPUTED_VALUE"""),8.0)</f>
        <v>8</v>
      </c>
      <c r="F21" s="54">
        <f>IFERROR(__xludf.DUMMYFUNCTION("""COMPUTED_VALUE"""),2.0)</f>
        <v>2</v>
      </c>
      <c r="G21" s="55"/>
      <c r="H21" s="56">
        <f>IFERROR(__xludf.DUMMYFUNCTION("""COMPUTED_VALUE"""),10.0)</f>
        <v>10</v>
      </c>
      <c r="I21" s="57">
        <f>IFERROR(__xludf.DUMMYFUNCTION("""COMPUTED_VALUE"""),0.0)</f>
        <v>0</v>
      </c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>
        <f>IFERROR(__xludf.DUMMYFUNCTION("""COMPUTED_VALUE"""),8.0)</f>
        <v>8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IFERROR(__xludf.DUMMYFUNCTION("""COMPUTED_VALUE"""),4.0)</f>
        <v>4</v>
      </c>
      <c r="F22" s="54">
        <f>IFERROR(__xludf.DUMMYFUNCTION("""COMPUTED_VALUE"""),0.0)</f>
        <v>0</v>
      </c>
      <c r="G22" s="55"/>
      <c r="H22" s="56">
        <f>IFERROR(__xludf.DUMMYFUNCTION("""COMPUTED_VALUE"""),4.0)</f>
        <v>4</v>
      </c>
      <c r="I22" s="57">
        <f>IFERROR(__xludf.DUMMYFUNCTION("""COMPUTED_VALUE"""),2.0)</f>
        <v>2</v>
      </c>
      <c r="J22" s="58">
        <f>IFERROR(__xludf.DUMMYFUNCTION("""COMPUTED_VALUE"""),5.0)</f>
        <v>5</v>
      </c>
      <c r="K22" s="51"/>
      <c r="L22" s="60">
        <f>IFERROR(__xludf.DUMMYFUNCTION("""COMPUTED_VALUE"""),4.0)</f>
        <v>4</v>
      </c>
      <c r="M22" s="1" t="str">
        <f>IFERROR(__xludf.DUMMYFUNCTION("""COMPUTED_VALUE"""),"Junio")</f>
        <v>Junio</v>
      </c>
      <c r="N22" s="1">
        <f>IFERROR(__xludf.DUMMYFUNCTION("""COMPUTED_VALUE"""),8.0)</f>
        <v>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IFERROR(__xludf.DUMMYFUNCTION("""COMPUTED_VALUE"""),6.5)</f>
        <v>6.5</v>
      </c>
      <c r="F23" s="54">
        <f>IFERROR(__xludf.DUMMYFUNCTION("""COMPUTED_VALUE"""),2.0)</f>
        <v>2</v>
      </c>
      <c r="G23" s="55"/>
      <c r="H23" s="56">
        <f>IFERROR(__xludf.DUMMYFUNCTION("""COMPUTED_VALUE"""),8.5)</f>
        <v>8.5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IFERROR(__xludf.DUMMYFUNCTION("""COMPUTED_VALUE"""),4.0)</f>
        <v>4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IFERROR(__xludf.DUMMYFUNCTION("""COMPUTED_VALUE"""),6.0)</f>
        <v>6</v>
      </c>
      <c r="F24" s="54">
        <f>IFERROR(__xludf.DUMMYFUNCTION("""COMPUTED_VALUE"""),2.0)</f>
        <v>2</v>
      </c>
      <c r="G24" s="55"/>
      <c r="H24" s="56">
        <f>IFERROR(__xludf.DUMMYFUNCTION("""COMPUTED_VALUE"""),8.0)</f>
        <v>8</v>
      </c>
      <c r="I24" s="57">
        <f>IFERROR(__xludf.DUMMYFUNCTION("""COMPUTED_VALUE"""),1.0)</f>
        <v>1</v>
      </c>
      <c r="J24" s="58">
        <f>IFERROR(__xludf.DUMMYFUNCTION("""COMPUTED_VALUE"""),8.0)</f>
        <v>8</v>
      </c>
      <c r="K24" s="51"/>
      <c r="L24" s="60">
        <f>IFERROR(__xludf.DUMMYFUNCTION("""COMPUTED_VALUE"""),8.0)</f>
        <v>8</v>
      </c>
      <c r="M24" s="1" t="str">
        <f>IFERROR(__xludf.DUMMYFUNCTION("""COMPUTED_VALUE"""),"TOTAL")</f>
        <v>TOTAL</v>
      </c>
      <c r="N24" s="1">
        <f>IFERROR(__xludf.DUMMYFUNCTION("""COMPUTED_VALUE"""),36.0)</f>
        <v>36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IFERROR(__xludf.DUMMYFUNCTION("""COMPUTED_VALUE"""),5.0)</f>
        <v>5</v>
      </c>
      <c r="F25" s="54">
        <f>IFERROR(__xludf.DUMMYFUNCTION("""COMPUTED_VALUE"""),2.0)</f>
        <v>2</v>
      </c>
      <c r="G25" s="55"/>
      <c r="H25" s="56">
        <f>IFERROR(__xludf.DUMMYFUNCTION("""COMPUTED_VALUE"""),7.0)</f>
        <v>7</v>
      </c>
      <c r="I25" s="57">
        <f>IFERROR(__xludf.DUMMYFUNCTION("""COMPUTED_VALUE"""),0.0)</f>
        <v>0</v>
      </c>
      <c r="J25" s="58">
        <f>IFERROR(__xludf.DUMMYFUNCTION("""COMPUTED_VALUE"""),7.0)</f>
        <v>7</v>
      </c>
      <c r="K25" s="51"/>
      <c r="L25" s="60">
        <f>IFERROR(__xludf.DUMMYFUNCTION("""COMPUTED_VALUE"""),7.0)</f>
        <v>7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IFERROR(__xludf.DUMMYFUNCTION("""COMPUTED_VALUE"""),6.5)</f>
        <v>6.5</v>
      </c>
      <c r="F26" s="54">
        <f>IFERROR(__xludf.DUMMYFUNCTION("""COMPUTED_VALUE"""),2.0)</f>
        <v>2</v>
      </c>
      <c r="G26" s="55"/>
      <c r="H26" s="56">
        <f>IFERROR(__xludf.DUMMYFUNCTION("""COMPUTED_VALUE"""),8.5)</f>
        <v>8.5</v>
      </c>
      <c r="I26" s="57">
        <f>IFERROR(__xludf.DUMMYFUNCTION("""COMPUTED_VALUE"""),0.0)</f>
        <v>0</v>
      </c>
      <c r="J26" s="58">
        <f>IFERROR(__xludf.DUMMYFUNCTION("""COMPUTED_VALUE"""),9.0)</f>
        <v>9</v>
      </c>
      <c r="K26" s="51"/>
      <c r="L26" s="60">
        <f>IFERROR(__xludf.DUMMYFUNCTION("""COMPUTED_VALUE"""),9.0)</f>
        <v>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IFERROR(__xludf.DUMMYFUNCTION("""COMPUTED_VALUE"""),6.5)</f>
        <v>6.5</v>
      </c>
      <c r="F27" s="54">
        <f>IFERROR(__xludf.DUMMYFUNCTION("""COMPUTED_VALUE"""),2.0)</f>
        <v>2</v>
      </c>
      <c r="G27" s="55"/>
      <c r="H27" s="56">
        <f>IFERROR(__xludf.DUMMYFUNCTION("""COMPUTED_VALUE"""),8.5)</f>
        <v>8.5</v>
      </c>
      <c r="I27" s="57">
        <f>IFERROR(__xludf.DUMMYFUNCTION("""COMPUTED_VALUE"""),0.0)</f>
        <v>0</v>
      </c>
      <c r="J27" s="58">
        <f>IFERROR(__xludf.DUMMYFUNCTION("""COMPUTED_VALUE"""),9.0)</f>
        <v>9</v>
      </c>
      <c r="K27" s="51"/>
      <c r="L27" s="60">
        <f>IFERROR(__xludf.DUMMYFUNCTION("""COMPUTED_VALUE"""),9.0)</f>
        <v>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IFERROR(__xludf.DUMMYFUNCTION("""COMPUTED_VALUE"""),8.0)</f>
        <v>8</v>
      </c>
      <c r="F28" s="54">
        <f>IFERROR(__xludf.DUMMYFUNCTION("""COMPUTED_VALUE"""),2.0)</f>
        <v>2</v>
      </c>
      <c r="G28" s="55"/>
      <c r="H28" s="56">
        <f>IFERROR(__xludf.DUMMYFUNCTION("""COMPUTED_VALUE"""),10.0)</f>
        <v>10</v>
      </c>
      <c r="I28" s="57">
        <f>IFERROR(__xludf.DUMMYFUNCTION("""COMPUTED_VALUE"""),0.0)</f>
        <v>0</v>
      </c>
      <c r="J28" s="58">
        <f>IFERROR(__xludf.DUMMYFUNCTION("""COMPUTED_VALUE"""),10.0)</f>
        <v>10</v>
      </c>
      <c r="K28" s="51"/>
      <c r="L28" s="60">
        <f>IFERROR(__xludf.DUMMYFUNCTION("""COMPUTED_VALUE"""),10.0)</f>
        <v>10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IFERROR(__xludf.DUMMYFUNCTION("""COMPUTED_VALUE"""),7.8)</f>
        <v>7.8</v>
      </c>
      <c r="F29" s="54">
        <f>IFERROR(__xludf.DUMMYFUNCTION("""COMPUTED_VALUE"""),2.0)</f>
        <v>2</v>
      </c>
      <c r="G29" s="55"/>
      <c r="H29" s="56">
        <f>IFERROR(__xludf.DUMMYFUNCTION("""COMPUTED_VALUE"""),9.8)</f>
        <v>9.8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IFERROR(__xludf.DUMMYFUNCTION("""COMPUTED_VALUE"""),7.6)</f>
        <v>7.6</v>
      </c>
      <c r="F30" s="54">
        <f>IFERROR(__xludf.DUMMYFUNCTION("""COMPUTED_VALUE"""),2.0)</f>
        <v>2</v>
      </c>
      <c r="G30" s="55"/>
      <c r="H30" s="56">
        <f>IFERROR(__xludf.DUMMYFUNCTION("""COMPUTED_VALUE"""),9.6)</f>
        <v>9.6</v>
      </c>
      <c r="I30" s="57">
        <f>IFERROR(__xludf.DUMMYFUNCTION("""COMPUTED_VALUE"""),0.0)</f>
        <v>0</v>
      </c>
      <c r="J30" s="58">
        <f>IFERROR(__xludf.DUMMYFUNCTION("""COMPUTED_VALUE"""),10.0)</f>
        <v>10</v>
      </c>
      <c r="K30" s="51"/>
      <c r="L30" s="60">
        <f>IFERROR(__xludf.DUMMYFUNCTION("""COMPUTED_VALUE"""),10.0)</f>
        <v>10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IFERROR(__xludf.DUMMYFUNCTION("""COMPUTED_VALUE"""),5.0)</f>
        <v>5</v>
      </c>
      <c r="F31" s="54">
        <f>IFERROR(__xludf.DUMMYFUNCTION("""COMPUTED_VALUE"""),2.0)</f>
        <v>2</v>
      </c>
      <c r="G31" s="55"/>
      <c r="H31" s="56">
        <f>IFERROR(__xludf.DUMMYFUNCTION("""COMPUTED_VALUE"""),7.0)</f>
        <v>7</v>
      </c>
      <c r="I31" s="57">
        <f>IFERROR(__xludf.DUMMYFUNCTION("""COMPUTED_VALUE"""),0.0)</f>
        <v>0</v>
      </c>
      <c r="J31" s="58">
        <f>IFERROR(__xludf.DUMMYFUNCTION("""COMPUTED_VALUE"""),7.0)</f>
        <v>7</v>
      </c>
      <c r="K31" s="51"/>
      <c r="L31" s="60">
        <f>IFERROR(__xludf.DUMMYFUNCTION("""COMPUTED_VALUE"""),7.0)</f>
        <v>7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IFERROR(__xludf.DUMMYFUNCTION("""COMPUTED_VALUE"""),4.5)</f>
        <v>4.5</v>
      </c>
      <c r="F33" s="54">
        <f>IFERROR(__xludf.DUMMYFUNCTION("""COMPUTED_VALUE"""),2.0)</f>
        <v>2</v>
      </c>
      <c r="G33" s="55"/>
      <c r="H33" s="56">
        <f>IFERROR(__xludf.DUMMYFUNCTION("""COMPUTED_VALUE"""),6.5)</f>
        <v>6.5</v>
      </c>
      <c r="I33" s="57">
        <f>IFERROR(__xludf.DUMMYFUNCTION("""COMPUTED_VALUE"""),0.0)</f>
        <v>0</v>
      </c>
      <c r="J33" s="58">
        <f>IFERROR(__xludf.DUMMYFUNCTION("""COMPUTED_VALUE"""),7.0)</f>
        <v>7</v>
      </c>
      <c r="K33" s="51"/>
      <c r="L33" s="60">
        <f>IFERROR(__xludf.DUMMYFUNCTION("""COMPUTED_VALUE"""),7.0)</f>
        <v>7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IFERROR(__xludf.DUMMYFUNCTION("""COMPUTED_VALUE"""),6.2)</f>
        <v>6.2</v>
      </c>
      <c r="F34" s="54">
        <f>IFERROR(__xludf.DUMMYFUNCTION("""COMPUTED_VALUE"""),2.0)</f>
        <v>2</v>
      </c>
      <c r="G34" s="55"/>
      <c r="H34" s="56">
        <f>IFERROR(__xludf.DUMMYFUNCTION("""COMPUTED_VALUE"""),8.2)</f>
        <v>8.2</v>
      </c>
      <c r="I34" s="57">
        <f>IFERROR(__xludf.DUMMYFUNCTION("""COMPUTED_VALUE"""),0.0)</f>
        <v>0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IFERROR(__xludf.DUMMYFUNCTION("""COMPUTED_VALUE"""),5.0)</f>
        <v>5</v>
      </c>
      <c r="F35" s="54">
        <f>IFERROR(__xludf.DUMMYFUNCTION("""COMPUTED_VALUE"""),2.0)</f>
        <v>2</v>
      </c>
      <c r="G35" s="55"/>
      <c r="H35" s="56">
        <f>IFERROR(__xludf.DUMMYFUNCTION("""COMPUTED_VALUE"""),7.0)</f>
        <v>7</v>
      </c>
      <c r="I35" s="57">
        <f>IFERROR(__xludf.DUMMYFUNCTION("""COMPUTED_VALUE"""),0.0)</f>
        <v>0</v>
      </c>
      <c r="J35" s="58">
        <f>IFERROR(__xludf.DUMMYFUNCTION("""COMPUTED_VALUE"""),7.0)</f>
        <v>7</v>
      </c>
      <c r="K35" s="51"/>
      <c r="L35" s="60">
        <f>IFERROR(__xludf.DUMMYFUNCTION("""COMPUTED_VALUE"""),7.0)</f>
        <v>7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IFERROR(__xludf.DUMMYFUNCTION("""COMPUTED_VALUE"""),5.5)</f>
        <v>5.5</v>
      </c>
      <c r="F36" s="54">
        <f>IFERROR(__xludf.DUMMYFUNCTION("""COMPUTED_VALUE"""),2.0)</f>
        <v>2</v>
      </c>
      <c r="G36" s="55"/>
      <c r="H36" s="56">
        <f>IFERROR(__xludf.DUMMYFUNCTION("""COMPUTED_VALUE"""),7.5)</f>
        <v>7.5</v>
      </c>
      <c r="I36" s="57">
        <f>IFERROR(__xludf.DUMMYFUNCTION("""COMPUTED_VALUE"""),0.0)</f>
        <v>0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IFERROR(__xludf.DUMMYFUNCTION("""COMPUTED_VALUE"""),6.4)</f>
        <v>6.4</v>
      </c>
      <c r="F37" s="54">
        <f>IFERROR(__xludf.DUMMYFUNCTION("""COMPUTED_VALUE"""),0.0)</f>
        <v>0</v>
      </c>
      <c r="G37" s="55"/>
      <c r="H37" s="56">
        <f>IFERROR(__xludf.DUMMYFUNCTION("""COMPUTED_VALUE"""),6.4)</f>
        <v>6.4</v>
      </c>
      <c r="I37" s="57">
        <f>IFERROR(__xludf.DUMMYFUNCTION("""COMPUTED_VALUE"""),2.0)</f>
        <v>2</v>
      </c>
      <c r="J37" s="58">
        <f>IFERROR(__xludf.DUMMYFUNCTION("""COMPUTED_VALUE"""),6.0)</f>
        <v>6</v>
      </c>
      <c r="K37" s="51"/>
      <c r="L37" s="60">
        <f>IFERROR(__xludf.DUMMYFUNCTION("""COMPUTED_VALUE"""),6.0)</f>
        <v>6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IFERROR(__xludf.DUMMYFUNCTION("""COMPUTED_VALUE"""),6.6)</f>
        <v>6.6</v>
      </c>
      <c r="F38" s="54">
        <f>IFERROR(__xludf.DUMMYFUNCTION("""COMPUTED_VALUE"""),2.0)</f>
        <v>2</v>
      </c>
      <c r="G38" s="55"/>
      <c r="H38" s="56">
        <f>IFERROR(__xludf.DUMMYFUNCTION("""COMPUTED_VALUE"""),8.6)</f>
        <v>8.6</v>
      </c>
      <c r="I38" s="57">
        <f>IFERROR(__xludf.DUMMYFUNCTION("""COMPUTED_VALUE"""),0.0)</f>
        <v>0</v>
      </c>
      <c r="J38" s="58">
        <f>IFERROR(__xludf.DUMMYFUNCTION("""COMPUTED_VALUE"""),9.0)</f>
        <v>9</v>
      </c>
      <c r="K38" s="51"/>
      <c r="L38" s="60">
        <f>IFERROR(__xludf.DUMMYFUNCTION("""COMPUTED_VALUE"""),9.0)</f>
        <v>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>
        <f>IFERROR(__xludf.DUMMYFUNCTION("""COMPUTED_VALUE"""),0.0)</f>
        <v>0</v>
      </c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>
        <f>IFERROR(__xludf.DUMMYFUNCTION("""COMPUTED_VALUE"""),0.0)</f>
        <v>0</v>
      </c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IFERROR(__xludf.DUMMYFUNCTION("""COMPUTED_VALUE"""),5.0)</f>
        <v>5</v>
      </c>
      <c r="F41" s="54">
        <f>IFERROR(__xludf.DUMMYFUNCTION("""COMPUTED_VALUE"""),2.0)</f>
        <v>2</v>
      </c>
      <c r="G41" s="55"/>
      <c r="H41" s="56">
        <f>IFERROR(__xludf.DUMMYFUNCTION("""COMPUTED_VALUE"""),7.0)</f>
        <v>7</v>
      </c>
      <c r="I41" s="57">
        <f>IFERROR(__xludf.DUMMYFUNCTION("""COMPUTED_VALUE"""),0.0)</f>
        <v>0</v>
      </c>
      <c r="J41" s="58">
        <f>IFERROR(__xludf.DUMMYFUNCTION("""COMPUTED_VALUE"""),7.0)</f>
        <v>7</v>
      </c>
      <c r="K41" s="51"/>
      <c r="L41" s="60">
        <f>IFERROR(__xludf.DUMMYFUNCTION("""COMPUTED_VALUE"""),7.0)</f>
        <v>7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IFERROR(__xludf.DUMMYFUNCTION("""COMPUTED_VALUE"""),2.8)</f>
        <v>2.8</v>
      </c>
      <c r="F42" s="54">
        <f>IFERROR(__xludf.DUMMYFUNCTION("""COMPUTED_VALUE"""),0.0)</f>
        <v>0</v>
      </c>
      <c r="G42" s="55"/>
      <c r="H42" s="56">
        <f>IFERROR(__xludf.DUMMYFUNCTION("""COMPUTED_VALUE"""),2.8)</f>
        <v>2.8</v>
      </c>
      <c r="I42" s="57">
        <f>IFERROR(__xludf.DUMMYFUNCTION("""COMPUTED_VALUE"""),2.0)</f>
        <v>2</v>
      </c>
      <c r="J42" s="58">
        <f>IFERROR(__xludf.DUMMYFUNCTION("""COMPUTED_VALUE"""),5.0)</f>
        <v>5</v>
      </c>
      <c r="K42" s="51"/>
      <c r="L42" s="60">
        <f>IFERROR(__xludf.DUMMYFUNCTION("""COMPUTED_VALUE"""),2.0)</f>
        <v>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IFERROR(__xludf.DUMMYFUNCTION("""COMPUTED_VALUE"""),5.5)</f>
        <v>5.5</v>
      </c>
      <c r="F43" s="54">
        <f>IFERROR(__xludf.DUMMYFUNCTION("""COMPUTED_VALUE"""),1.0)</f>
        <v>1</v>
      </c>
      <c r="G43" s="55"/>
      <c r="H43" s="56">
        <f>IFERROR(__xludf.DUMMYFUNCTION("""COMPUTED_VALUE"""),6.5)</f>
        <v>6.5</v>
      </c>
      <c r="I43" s="57">
        <f>IFERROR(__xludf.DUMMYFUNCTION("""COMPUTED_VALUE"""),2.0)</f>
        <v>2</v>
      </c>
      <c r="J43" s="58">
        <f>IFERROR(__xludf.DUMMYFUNCTION("""COMPUTED_VALUE"""),7.0)</f>
        <v>7</v>
      </c>
      <c r="K43" s="51"/>
      <c r="L43" s="60">
        <f>IFERROR(__xludf.DUMMYFUNCTION("""COMPUTED_VALUE"""),7.0)</f>
        <v>7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IFERROR(__xludf.DUMMYFUNCTION("""COMPUTED_VALUE"""),6.0)</f>
        <v>6</v>
      </c>
      <c r="F44" s="54">
        <f>IFERROR(__xludf.DUMMYFUNCTION("""COMPUTED_VALUE"""),2.0)</f>
        <v>2</v>
      </c>
      <c r="G44" s="55"/>
      <c r="H44" s="56">
        <f>IFERROR(__xludf.DUMMYFUNCTION("""COMPUTED_VALUE"""),8.0)</f>
        <v>8</v>
      </c>
      <c r="I44" s="57">
        <f>IFERROR(__xludf.DUMMYFUNCTION("""COMPUTED_VALUE"""),0.0)</f>
        <v>0</v>
      </c>
      <c r="J44" s="58">
        <f>IFERROR(__xludf.DUMMYFUNCTION("""COMPUTED_VALUE"""),8.0)</f>
        <v>8</v>
      </c>
      <c r="K44" s="51"/>
      <c r="L44" s="60">
        <f>IFERROR(__xludf.DUMMYFUNCTION("""COMPUTED_VALUE"""),8.0)</f>
        <v>8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IFERROR(__xludf.DUMMYFUNCTION("""COMPUTED_VALUE"""),6.0)</f>
        <v>6</v>
      </c>
      <c r="F45" s="54">
        <f>IFERROR(__xludf.DUMMYFUNCTION("""COMPUTED_VALUE"""),2.0)</f>
        <v>2</v>
      </c>
      <c r="G45" s="55"/>
      <c r="H45" s="56">
        <f>IFERROR(__xludf.DUMMYFUNCTION("""COMPUTED_VALUE"""),8.0)</f>
        <v>8</v>
      </c>
      <c r="I45" s="57">
        <f>IFERROR(__xludf.DUMMYFUNCTION("""COMPUTED_VALUE"""),0.0)</f>
        <v>0</v>
      </c>
      <c r="J45" s="58">
        <f>IFERROR(__xludf.DUMMYFUNCTION("""COMPUTED_VALUE"""),8.0)</f>
        <v>8</v>
      </c>
      <c r="K45" s="51"/>
      <c r="L45" s="60">
        <f>IFERROR(__xludf.DUMMYFUNCTION("""COMPUTED_VALUE"""),8.0)</f>
        <v>8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IFERROR(__xludf.DUMMYFUNCTION("""COMPUTED_VALUE"""),7.5)</f>
        <v>7.5</v>
      </c>
      <c r="F46" s="54">
        <f>IFERROR(__xludf.DUMMYFUNCTION("""COMPUTED_VALUE"""),2.0)</f>
        <v>2</v>
      </c>
      <c r="G46" s="55"/>
      <c r="H46" s="56">
        <f>IFERROR(__xludf.DUMMYFUNCTION("""COMPUTED_VALUE"""),9.5)</f>
        <v>9.5</v>
      </c>
      <c r="I46" s="57">
        <f>IFERROR(__xludf.DUMMYFUNCTION("""COMPUTED_VALUE"""),2.0)</f>
        <v>2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IFERROR(__xludf.DUMMYFUNCTION("""COMPUTED_VALUE"""),7.5)</f>
        <v>7.5</v>
      </c>
      <c r="F47" s="54">
        <f>IFERROR(__xludf.DUMMYFUNCTION("""COMPUTED_VALUE"""),2.0)</f>
        <v>2</v>
      </c>
      <c r="G47" s="55"/>
      <c r="H47" s="56">
        <f>IFERROR(__xludf.DUMMYFUNCTION("""COMPUTED_VALUE"""),9.5)</f>
        <v>9.5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IFERROR(__xludf.DUMMYFUNCTION("""COMPUTED_VALUE"""),6.0)</f>
        <v>6</v>
      </c>
      <c r="F48" s="54">
        <f>IFERROR(__xludf.DUMMYFUNCTION("""COMPUTED_VALUE"""),2.0)</f>
        <v>2</v>
      </c>
      <c r="G48" s="55"/>
      <c r="H48" s="56">
        <f>IFERROR(__xludf.DUMMYFUNCTION("""COMPUTED_VALUE"""),8.0)</f>
        <v>8</v>
      </c>
      <c r="I48" s="57">
        <f>IFERROR(__xludf.DUMMYFUNCTION("""COMPUTED_VALUE"""),0.0)</f>
        <v>0</v>
      </c>
      <c r="J48" s="58">
        <f>IFERROR(__xludf.DUMMYFUNCTION("""COMPUTED_VALUE"""),8.0)</f>
        <v>8</v>
      </c>
      <c r="K48" s="51"/>
      <c r="L48" s="60">
        <f>IFERROR(__xludf.DUMMYFUNCTION("""COMPUTED_VALUE"""),8.0)</f>
        <v>8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/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/>
      <c r="H50" s="56">
        <f>IFERROR(__xludf.DUMMYFUNCTION("""COMPUTED_VALUE"""),8.0)</f>
        <v>8</v>
      </c>
      <c r="I50" s="57">
        <f>IFERROR(__xludf.DUMMYFUNCTION("""COMPUTED_VALUE"""),2.0)</f>
        <v>2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IFERROR(__xludf.DUMMYFUNCTION("""COMPUTED_VALUE"""),5.5)</f>
        <v>5.5</v>
      </c>
      <c r="F52" s="54">
        <f>IFERROR(__xludf.DUMMYFUNCTION("""COMPUTED_VALUE"""),2.0)</f>
        <v>2</v>
      </c>
      <c r="G52" s="55"/>
      <c r="H52" s="56">
        <f>IFERROR(__xludf.DUMMYFUNCTION("""COMPUTED_VALUE"""),7.5)</f>
        <v>7.5</v>
      </c>
      <c r="I52" s="57">
        <f>IFERROR(__xludf.DUMMYFUNCTION("""COMPUTED_VALUE"""),0.0)</f>
        <v>0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IFERROR(__xludf.DUMMYFUNCTION("""COMPUTED_VALUE"""),6.0)</f>
        <v>6</v>
      </c>
      <c r="F53" s="54">
        <f>IFERROR(__xludf.DUMMYFUNCTION("""COMPUTED_VALUE"""),2.0)</f>
        <v>2</v>
      </c>
      <c r="G53" s="55"/>
      <c r="H53" s="56">
        <f>IFERROR(__xludf.DUMMYFUNCTION("""COMPUTED_VALUE"""),8.0)</f>
        <v>8</v>
      </c>
      <c r="I53" s="57">
        <f>IFERROR(__xludf.DUMMYFUNCTION("""COMPUTED_VALUE"""),0.0)</f>
        <v>0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IFERROR(__xludf.DUMMYFUNCTION("""COMPUTED_VALUE"""),6.0)</f>
        <v>6</v>
      </c>
      <c r="F54" s="54">
        <f>IFERROR(__xludf.DUMMYFUNCTION("""COMPUTED_VALUE"""),2.0)</f>
        <v>2</v>
      </c>
      <c r="G54" s="55"/>
      <c r="H54" s="56">
        <f>IFERROR(__xludf.DUMMYFUNCTION("""COMPUTED_VALUE"""),8.0)</f>
        <v>8</v>
      </c>
      <c r="I54" s="57">
        <f>IFERROR(__xludf.DUMMYFUNCTION("""COMPUTED_VALUE"""),1.0)</f>
        <v>1</v>
      </c>
      <c r="J54" s="58">
        <f>IFERROR(__xludf.DUMMYFUNCTION("""COMPUTED_VALUE"""),8.0)</f>
        <v>8</v>
      </c>
      <c r="K54" s="51"/>
      <c r="L54" s="59">
        <f>IFERROR(__xludf.DUMMYFUNCTION("""COMPUTED_VALUE"""),8.0)</f>
        <v>8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IFERROR(__xludf.DUMMYFUNCTION("""COMPUTED_VALUE"""),5.0)</f>
        <v>5</v>
      </c>
      <c r="F55" s="54">
        <f>IFERROR(__xludf.DUMMYFUNCTION("""COMPUTED_VALUE"""),2.0)</f>
        <v>2</v>
      </c>
      <c r="G55" s="55"/>
      <c r="H55" s="56">
        <f>IFERROR(__xludf.DUMMYFUNCTION("""COMPUTED_VALUE"""),7.0)</f>
        <v>7</v>
      </c>
      <c r="I55" s="61">
        <f>IFERROR(__xludf.DUMMYFUNCTION("""COMPUTED_VALUE"""),0.0)</f>
        <v>0</v>
      </c>
      <c r="J55" s="58">
        <f>IFERROR(__xludf.DUMMYFUNCTION("""COMPUTED_VALUE"""),7.0)</f>
        <v>7</v>
      </c>
      <c r="K55" s="51"/>
      <c r="L55" s="59">
        <f>IFERROR(__xludf.DUMMYFUNCTION("""COMPUTED_VALUE"""),7.0)</f>
        <v>7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IFERROR(__xludf.DUMMYFUNCTION("""COMPUTED_VALUE"""),5.0)</f>
        <v>5</v>
      </c>
      <c r="F56" s="54">
        <f>IFERROR(__xludf.DUMMYFUNCTION("""COMPUTED_VALUE"""),2.0)</f>
        <v>2</v>
      </c>
      <c r="G56" s="55"/>
      <c r="H56" s="56">
        <f>IFERROR(__xludf.DUMMYFUNCTION("""COMPUTED_VALUE"""),7.0)</f>
        <v>7</v>
      </c>
      <c r="I56" s="61">
        <f>IFERROR(__xludf.DUMMYFUNCTION("""COMPUTED_VALUE"""),0.0)</f>
        <v>0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/>
      <c r="H57" s="56">
        <f>IFERROR(__xludf.DUMMYFUNCTION("""COMPUTED_VALUE"""),10.0)</f>
        <v>10</v>
      </c>
      <c r="I57" s="61">
        <f>IFERROR(__xludf.DUMMYFUNCTION("""COMPUTED_VALUE"""),0.0)</f>
        <v>0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/>
      <c r="H58" s="56">
        <f>IFERROR(__xludf.DUMMYFUNCTION("""COMPUTED_VALUE"""),10.0)</f>
        <v>10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IFERROR(__xludf.DUMMYFUNCTION("""COMPUTED_VALUE"""),7.5)</f>
        <v>7.5</v>
      </c>
      <c r="F59" s="54">
        <f>IFERROR(__xludf.DUMMYFUNCTION("""COMPUTED_VALUE"""),2.0)</f>
        <v>2</v>
      </c>
      <c r="G59" s="55"/>
      <c r="H59" s="56">
        <f>IFERROR(__xludf.DUMMYFUNCTION("""COMPUTED_VALUE"""),9.5)</f>
        <v>9.5</v>
      </c>
      <c r="I59" s="61">
        <f>IFERROR(__xludf.DUMMYFUNCTION("""COMPUTED_VALUE"""),0.0)</f>
        <v>0</v>
      </c>
      <c r="J59" s="58">
        <f>IFERROR(__xludf.DUMMYFUNCTION("""COMPUTED_VALUE"""),10.0)</f>
        <v>10</v>
      </c>
      <c r="K59" s="51"/>
      <c r="L59" s="59">
        <f>IFERROR(__xludf.DUMMYFUNCTION("""COMPUTED_VALUE"""),10.0)</f>
        <v>10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/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/>
      <c r="H61" s="56">
        <f>IFERROR(__xludf.DUMMYFUNCTION("""COMPUTED_VALUE"""),10.0)</f>
        <v>10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IFERROR(__xludf.DUMMYFUNCTION("""COMPUTED_VALUE"""),42.0)</f>
        <v>42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IFERROR(__xludf.DUMMYFUNCTION("""COMPUTED_VALUE"""),3.0)</f>
        <v>3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IFERROR(__xludf.DUMMYFUNCTION("""COMPUTED_VALUE"""),93.33333333333333)</f>
        <v>93.33333333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IFERROR(__xludf.DUMMYFUNCTION("""COMPUTED_VALUE"""),8.466666666666667)</f>
        <v>8.466666667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IFERROR(__xludf.DUMMYFUNCTION("IMPORTRANGE(""https://docs.google.com/spreadsheets/d/1JF8gv5DcLMX--4Xu4Aiyk880fwdvD6ewZLBLvH-qBOs/edit?gid=868681460#gid=868681460"",""3-1 practica y colaboracion ciudadana ii!A1:Q85"")"),"")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IFERROR(__xludf.DUMMYFUNCTION("""COMPUTED_VALUE"""),"Marco Antonio Velez Salazar")</f>
        <v>Marco Antonio Velez Salazar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IFERROR(__xludf.DUMMYFUNCTION("""COMPUTED_VALUE"""),"PRÁCTICA Y COLABORACIÓN CIUDADANA II")</f>
        <v>PRÁCTICA Y COLABORACIÓN CIUDADANA II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IFERROR(__xludf.DUMMYFUNCTION("""COMPUTED_VALUE"""),7.0)</f>
        <v>7</v>
      </c>
      <c r="F17" s="54">
        <f>IFERROR(__xludf.DUMMYFUNCTION("""COMPUTED_VALUE"""),2.0)</f>
        <v>2</v>
      </c>
      <c r="G17" s="55"/>
      <c r="H17" s="56">
        <f>IFERROR(__xludf.DUMMYFUNCTION("""COMPUTED_VALUE"""),9.0)</f>
        <v>9</v>
      </c>
      <c r="I17" s="57"/>
      <c r="J17" s="58">
        <f>IFERROR(__xludf.DUMMYFUNCTION("""COMPUTED_VALUE"""),9.0)</f>
        <v>9</v>
      </c>
      <c r="K17" s="59"/>
      <c r="L17" s="60">
        <f>IFERROR(__xludf.DUMMYFUNCTION("""COMPUTED_VALUE"""),9.0)</f>
        <v>9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IFERROR(__xludf.DUMMYFUNCTION("""COMPUTED_VALUE"""),7.0)</f>
        <v>7</v>
      </c>
      <c r="F18" s="54">
        <f>IFERROR(__xludf.DUMMYFUNCTION("""COMPUTED_VALUE"""),2.0)</f>
        <v>2</v>
      </c>
      <c r="G18" s="55">
        <f>IFERROR(__xludf.DUMMYFUNCTION("""COMPUTED_VALUE"""),1.0)</f>
        <v>1</v>
      </c>
      <c r="H18" s="56">
        <f>IFERROR(__xludf.DUMMYFUNCTION("""COMPUTED_VALUE"""),10.0)</f>
        <v>10</v>
      </c>
      <c r="I18" s="57"/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IFERROR(__xludf.DUMMYFUNCTION("""COMPUTED_VALUE"""),3.0)</f>
        <v>3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IFERROR(__xludf.DUMMYFUNCTION("""COMPUTED_VALUE"""),5.0)</f>
        <v>5</v>
      </c>
      <c r="F19" s="54">
        <f>IFERROR(__xludf.DUMMYFUNCTION("""COMPUTED_VALUE"""),2.0)</f>
        <v>2</v>
      </c>
      <c r="G19" s="55"/>
      <c r="H19" s="56">
        <f>IFERROR(__xludf.DUMMYFUNCTION("""COMPUTED_VALUE"""),7.0)</f>
        <v>7</v>
      </c>
      <c r="I19" s="57"/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IFERROR(__xludf.DUMMYFUNCTION("""COMPUTED_VALUE"""),8.0)</f>
        <v>8</v>
      </c>
      <c r="F20" s="54">
        <f>IFERROR(__xludf.DUMMYFUNCTION("""COMPUTED_VALUE"""),2.0)</f>
        <v>2</v>
      </c>
      <c r="G20" s="55">
        <f>IFERROR(__xludf.DUMMYFUNCTION("""COMPUTED_VALUE"""),1.0)</f>
        <v>1</v>
      </c>
      <c r="H20" s="56">
        <f>IFERROR(__xludf.DUMMYFUNCTION("""COMPUTED_VALUE"""),11.0)</f>
        <v>11</v>
      </c>
      <c r="I20" s="57"/>
      <c r="J20" s="58">
        <f>IFERROR(__xludf.DUMMYFUNCTION("""COMPUTED_VALUE"""),10.0)</f>
        <v>10</v>
      </c>
      <c r="K20" s="51"/>
      <c r="L20" s="60">
        <f>IFERROR(__xludf.DUMMYFUNCTION("""COMPUTED_VALUE"""),11.0)</f>
        <v>11</v>
      </c>
      <c r="M20" s="1" t="str">
        <f>IFERROR(__xludf.DUMMYFUNCTION("""COMPUTED_VALUE"""),"Abril")</f>
        <v>Abril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IFERROR(__xludf.DUMMYFUNCTION("""COMPUTED_VALUE"""),7.0)</f>
        <v>7</v>
      </c>
      <c r="F21" s="54">
        <f>IFERROR(__xludf.DUMMYFUNCTION("""COMPUTED_VALUE"""),2.0)</f>
        <v>2</v>
      </c>
      <c r="G21" s="55">
        <f>IFERROR(__xludf.DUMMYFUNCTION("""COMPUTED_VALUE"""),1.0)</f>
        <v>1</v>
      </c>
      <c r="H21" s="56">
        <f>IFERROR(__xludf.DUMMYFUNCTION("""COMPUTED_VALUE"""),10.0)</f>
        <v>10</v>
      </c>
      <c r="I21" s="57"/>
      <c r="J21" s="58">
        <f>IFERROR(__xludf.DUMMYFUNCTION("""COMPUTED_VALUE"""),10.0)</f>
        <v>10</v>
      </c>
      <c r="K21" s="51"/>
      <c r="L21" s="60">
        <f>IFERROR(__xludf.DUMMYFUNCTION("""COMPUTED_VALUE"""),10.0)</f>
        <v>10</v>
      </c>
      <c r="M21" s="1" t="str">
        <f>IFERROR(__xludf.DUMMYFUNCTION("""COMPUTED_VALUE"""),"Mayo")</f>
        <v>Mayo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IFERROR(__xludf.DUMMYFUNCTION("""COMPUTED_VALUE"""),6.0)</f>
        <v>6</v>
      </c>
      <c r="F22" s="54">
        <f>IFERROR(__xludf.DUMMYFUNCTION("""COMPUTED_VALUE"""),2.0)</f>
        <v>2</v>
      </c>
      <c r="G22" s="55"/>
      <c r="H22" s="56">
        <f>IFERROR(__xludf.DUMMYFUNCTION("""COMPUTED_VALUE"""),8.0)</f>
        <v>8</v>
      </c>
      <c r="I22" s="57">
        <f>IFERROR(__xludf.DUMMYFUNCTION("""COMPUTED_VALUE"""),2.0)</f>
        <v>2</v>
      </c>
      <c r="J22" s="58">
        <f>IFERROR(__xludf.DUMMYFUNCTION("""COMPUTED_VALUE"""),8.0)</f>
        <v>8</v>
      </c>
      <c r="K22" s="51"/>
      <c r="L22" s="60">
        <f>IFERROR(__xludf.DUMMYFUNCTION("""COMPUTED_VALUE"""),8.0)</f>
        <v>8</v>
      </c>
      <c r="M22" s="1" t="str">
        <f>IFERROR(__xludf.DUMMYFUNCTION("""COMPUTED_VALUE"""),"Junio")</f>
        <v>Junio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IFERROR(__xludf.DUMMYFUNCTION("""COMPUTED_VALUE"""),7.0)</f>
        <v>7</v>
      </c>
      <c r="F23" s="54">
        <f>IFERROR(__xludf.DUMMYFUNCTION("""COMPUTED_VALUE"""),2.0)</f>
        <v>2</v>
      </c>
      <c r="G23" s="55"/>
      <c r="H23" s="56">
        <f>IFERROR(__xludf.DUMMYFUNCTION("""COMPUTED_VALUE"""),9.0)</f>
        <v>9</v>
      </c>
      <c r="I23" s="57"/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IFERROR(__xludf.DUMMYFUNCTION("""COMPUTED_VALUE"""),8.0)</f>
        <v>8</v>
      </c>
      <c r="F24" s="54">
        <f>IFERROR(__xludf.DUMMYFUNCTION("""COMPUTED_VALUE"""),2.0)</f>
        <v>2</v>
      </c>
      <c r="G24" s="55"/>
      <c r="H24" s="56">
        <f>IFERROR(__xludf.DUMMYFUNCTION("""COMPUTED_VALUE"""),10.0)</f>
        <v>10</v>
      </c>
      <c r="I24" s="57"/>
      <c r="J24" s="58">
        <f>IFERROR(__xludf.DUMMYFUNCTION("""COMPUTED_VALUE"""),10.0)</f>
        <v>10</v>
      </c>
      <c r="K24" s="51"/>
      <c r="L24" s="60">
        <f>IFERROR(__xludf.DUMMYFUNCTION("""COMPUTED_VALUE"""),10.0)</f>
        <v>10</v>
      </c>
      <c r="M24" s="1" t="str">
        <f>IFERROR(__xludf.DUMMYFUNCTION("""COMPUTED_VALUE"""),"TOTAL")</f>
        <v>TOTAL</v>
      </c>
      <c r="N24" s="1">
        <f>IFERROR(__xludf.DUMMYFUNCTION("""COMPUTED_VALUE"""),7.0)</f>
        <v>7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/>
      <c r="H25" s="56">
        <f>IFERROR(__xludf.DUMMYFUNCTION("""COMPUTED_VALUE"""),10.0)</f>
        <v>10</v>
      </c>
      <c r="I25" s="57"/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/>
      <c r="H26" s="56">
        <f>IFERROR(__xludf.DUMMYFUNCTION("""COMPUTED_VALUE"""),10.0)</f>
        <v>10</v>
      </c>
      <c r="I26" s="57"/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IFERROR(__xludf.DUMMYFUNCTION("""COMPUTED_VALUE"""),5.0)</f>
        <v>5</v>
      </c>
      <c r="F27" s="54">
        <f>IFERROR(__xludf.DUMMYFUNCTION("""COMPUTED_VALUE"""),2.0)</f>
        <v>2</v>
      </c>
      <c r="G27" s="55"/>
      <c r="H27" s="56">
        <f>IFERROR(__xludf.DUMMYFUNCTION("""COMPUTED_VALUE"""),7.0)</f>
        <v>7</v>
      </c>
      <c r="I27" s="57">
        <f>IFERROR(__xludf.DUMMYFUNCTION("""COMPUTED_VALUE"""),1.0)</f>
        <v>1</v>
      </c>
      <c r="J27" s="58">
        <f>IFERROR(__xludf.DUMMYFUNCTION("""COMPUTED_VALUE"""),7.0)</f>
        <v>7</v>
      </c>
      <c r="K27" s="51"/>
      <c r="L27" s="60">
        <f>IFERROR(__xludf.DUMMYFUNCTION("""COMPUTED_VALUE"""),7.0)</f>
        <v>7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IFERROR(__xludf.DUMMYFUNCTION("""COMPUTED_VALUE"""),7.0)</f>
        <v>7</v>
      </c>
      <c r="F28" s="54">
        <f>IFERROR(__xludf.DUMMYFUNCTION("""COMPUTED_VALUE"""),2.0)</f>
        <v>2</v>
      </c>
      <c r="G28" s="55"/>
      <c r="H28" s="56">
        <f>IFERROR(__xludf.DUMMYFUNCTION("""COMPUTED_VALUE"""),9.0)</f>
        <v>9</v>
      </c>
      <c r="I28" s="57"/>
      <c r="J28" s="58">
        <f>IFERROR(__xludf.DUMMYFUNCTION("""COMPUTED_VALUE"""),9.0)</f>
        <v>9</v>
      </c>
      <c r="K28" s="51"/>
      <c r="L28" s="60">
        <f>IFERROR(__xludf.DUMMYFUNCTION("""COMPUTED_VALUE"""),9.0)</f>
        <v>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>
        <f>IFERROR(__xludf.DUMMYFUNCTION("""COMPUTED_VALUE"""),1.0)</f>
        <v>1</v>
      </c>
      <c r="H29" s="56">
        <f>IFERROR(__xludf.DUMMYFUNCTION("""COMPUTED_VALUE"""),11.0)</f>
        <v>11</v>
      </c>
      <c r="I29" s="57"/>
      <c r="J29" s="58">
        <f>IFERROR(__xludf.DUMMYFUNCTION("""COMPUTED_VALUE"""),10.0)</f>
        <v>10</v>
      </c>
      <c r="K29" s="51"/>
      <c r="L29" s="60">
        <f>IFERROR(__xludf.DUMMYFUNCTION("""COMPUTED_VALUE"""),11.0)</f>
        <v>11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IFERROR(__xludf.DUMMYFUNCTION("""COMPUTED_VALUE"""),8.0)</f>
        <v>8</v>
      </c>
      <c r="F30" s="54">
        <f>IFERROR(__xludf.DUMMYFUNCTION("""COMPUTED_VALUE"""),2.0)</f>
        <v>2</v>
      </c>
      <c r="G30" s="55">
        <f>IFERROR(__xludf.DUMMYFUNCTION("""COMPUTED_VALUE"""),1.0)</f>
        <v>1</v>
      </c>
      <c r="H30" s="56">
        <f>IFERROR(__xludf.DUMMYFUNCTION("""COMPUTED_VALUE"""),11.0)</f>
        <v>11</v>
      </c>
      <c r="I30" s="57"/>
      <c r="J30" s="58">
        <f>IFERROR(__xludf.DUMMYFUNCTION("""COMPUTED_VALUE"""),10.0)</f>
        <v>10</v>
      </c>
      <c r="K30" s="51"/>
      <c r="L30" s="60">
        <f>IFERROR(__xludf.DUMMYFUNCTION("""COMPUTED_VALUE"""),11.0)</f>
        <v>11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IFERROR(__xludf.DUMMYFUNCTION("""COMPUTED_VALUE"""),7.0)</f>
        <v>7</v>
      </c>
      <c r="F31" s="54">
        <f>IFERROR(__xludf.DUMMYFUNCTION("""COMPUTED_VALUE"""),2.0)</f>
        <v>2</v>
      </c>
      <c r="G31" s="55"/>
      <c r="H31" s="56">
        <f>IFERROR(__xludf.DUMMYFUNCTION("""COMPUTED_VALUE"""),9.0)</f>
        <v>9</v>
      </c>
      <c r="I31" s="57"/>
      <c r="J31" s="58">
        <f>IFERROR(__xludf.DUMMYFUNCTION("""COMPUTED_VALUE"""),9.0)</f>
        <v>9</v>
      </c>
      <c r="K31" s="51"/>
      <c r="L31" s="60">
        <f>IFERROR(__xludf.DUMMYFUNCTION("""COMPUTED_VALUE"""),9.0)</f>
        <v>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/>
      <c r="H32" s="56">
        <f>IFERROR(__xludf.DUMMYFUNCTION("""COMPUTED_VALUE"""),10.0)</f>
        <v>10</v>
      </c>
      <c r="I32" s="57"/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IFERROR(__xludf.DUMMYFUNCTION("""COMPUTED_VALUE"""),6.0)</f>
        <v>6</v>
      </c>
      <c r="F33" s="54">
        <f>IFERROR(__xludf.DUMMYFUNCTION("""COMPUTED_VALUE"""),2.0)</f>
        <v>2</v>
      </c>
      <c r="G33" s="55"/>
      <c r="H33" s="56">
        <f>IFERROR(__xludf.DUMMYFUNCTION("""COMPUTED_VALUE"""),8.0)</f>
        <v>8</v>
      </c>
      <c r="I33" s="57"/>
      <c r="J33" s="58">
        <f>IFERROR(__xludf.DUMMYFUNCTION("""COMPUTED_VALUE"""),8.0)</f>
        <v>8</v>
      </c>
      <c r="K33" s="51"/>
      <c r="L33" s="60">
        <f>IFERROR(__xludf.DUMMYFUNCTION("""COMPUTED_VALUE"""),8.0)</f>
        <v>8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IFERROR(__xludf.DUMMYFUNCTION("""COMPUTED_VALUE"""),8.0)</f>
        <v>8</v>
      </c>
      <c r="F34" s="54">
        <f>IFERROR(__xludf.DUMMYFUNCTION("""COMPUTED_VALUE"""),2.0)</f>
        <v>2</v>
      </c>
      <c r="G34" s="55"/>
      <c r="H34" s="56">
        <f>IFERROR(__xludf.DUMMYFUNCTION("""COMPUTED_VALUE"""),10.0)</f>
        <v>10</v>
      </c>
      <c r="I34" s="57">
        <f>IFERROR(__xludf.DUMMYFUNCTION("""COMPUTED_VALUE"""),1.0)</f>
        <v>1</v>
      </c>
      <c r="J34" s="58">
        <f>IFERROR(__xludf.DUMMYFUNCTION("""COMPUTED_VALUE"""),10.0)</f>
        <v>10</v>
      </c>
      <c r="K34" s="51"/>
      <c r="L34" s="60">
        <f>IFERROR(__xludf.DUMMYFUNCTION("""COMPUTED_VALUE"""),10.0)</f>
        <v>10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IFERROR(__xludf.DUMMYFUNCTION("""COMPUTED_VALUE"""),6.0)</f>
        <v>6</v>
      </c>
      <c r="F35" s="54">
        <f>IFERROR(__xludf.DUMMYFUNCTION("""COMPUTED_VALUE"""),2.0)</f>
        <v>2</v>
      </c>
      <c r="G35" s="55"/>
      <c r="H35" s="56">
        <f>IFERROR(__xludf.DUMMYFUNCTION("""COMPUTED_VALUE"""),8.0)</f>
        <v>8</v>
      </c>
      <c r="I35" s="57"/>
      <c r="J35" s="58">
        <f>IFERROR(__xludf.DUMMYFUNCTION("""COMPUTED_VALUE"""),8.0)</f>
        <v>8</v>
      </c>
      <c r="K35" s="51"/>
      <c r="L35" s="60">
        <f>IFERROR(__xludf.DUMMYFUNCTION("""COMPUTED_VALUE"""),8.0)</f>
        <v>8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IFERROR(__xludf.DUMMYFUNCTION("""COMPUTED_VALUE"""),8.0)</f>
        <v>8</v>
      </c>
      <c r="F36" s="54">
        <f>IFERROR(__xludf.DUMMYFUNCTION("""COMPUTED_VALUE"""),2.0)</f>
        <v>2</v>
      </c>
      <c r="G36" s="55"/>
      <c r="H36" s="56">
        <f>IFERROR(__xludf.DUMMYFUNCTION("""COMPUTED_VALUE"""),10.0)</f>
        <v>10</v>
      </c>
      <c r="I36" s="57"/>
      <c r="J36" s="58">
        <f>IFERROR(__xludf.DUMMYFUNCTION("""COMPUTED_VALUE"""),10.0)</f>
        <v>10</v>
      </c>
      <c r="K36" s="51"/>
      <c r="L36" s="60">
        <f>IFERROR(__xludf.DUMMYFUNCTION("""COMPUTED_VALUE"""),10.0)</f>
        <v>10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IFERROR(__xludf.DUMMYFUNCTION("""COMPUTED_VALUE"""),6.0)</f>
        <v>6</v>
      </c>
      <c r="F37" s="54">
        <f>IFERROR(__xludf.DUMMYFUNCTION("""COMPUTED_VALUE"""),2.0)</f>
        <v>2</v>
      </c>
      <c r="G37" s="55"/>
      <c r="H37" s="56">
        <f>IFERROR(__xludf.DUMMYFUNCTION("""COMPUTED_VALUE"""),8.0)</f>
        <v>8</v>
      </c>
      <c r="I37" s="57"/>
      <c r="J37" s="58">
        <f>IFERROR(__xludf.DUMMYFUNCTION("""COMPUTED_VALUE"""),8.0)</f>
        <v>8</v>
      </c>
      <c r="K37" s="51"/>
      <c r="L37" s="60">
        <f>IFERROR(__xludf.DUMMYFUNCTION("""COMPUTED_VALUE"""),8.0)</f>
        <v>8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IFERROR(__xludf.DUMMYFUNCTION("""COMPUTED_VALUE"""),8.0)</f>
        <v>8</v>
      </c>
      <c r="F38" s="54">
        <f>IFERROR(__xludf.DUMMYFUNCTION("""COMPUTED_VALUE"""),2.0)</f>
        <v>2</v>
      </c>
      <c r="G38" s="55"/>
      <c r="H38" s="56">
        <f>IFERROR(__xludf.DUMMYFUNCTION("""COMPUTED_VALUE"""),10.0)</f>
        <v>10</v>
      </c>
      <c r="I38" s="57"/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IFERROR(__xludf.DUMMYFUNCTION("""COMPUTED_VALUE"""),8.0)</f>
        <v>8</v>
      </c>
      <c r="F39" s="54">
        <f>IFERROR(__xludf.DUMMYFUNCTION("""COMPUTED_VALUE"""),2.0)</f>
        <v>2</v>
      </c>
      <c r="G39" s="55"/>
      <c r="H39" s="56">
        <f>IFERROR(__xludf.DUMMYFUNCTION("""COMPUTED_VALUE"""),10.0)</f>
        <v>10</v>
      </c>
      <c r="I39" s="57"/>
      <c r="J39" s="58">
        <f>IFERROR(__xludf.DUMMYFUNCTION("""COMPUTED_VALUE"""),10.0)</f>
        <v>10</v>
      </c>
      <c r="K39" s="51"/>
      <c r="L39" s="60">
        <f>IFERROR(__xludf.DUMMYFUNCTION("""COMPUTED_VALUE"""),10.0)</f>
        <v>10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IFERROR(__xludf.DUMMYFUNCTION("""COMPUTED_VALUE"""),8.0)</f>
        <v>8</v>
      </c>
      <c r="F40" s="54">
        <f>IFERROR(__xludf.DUMMYFUNCTION("""COMPUTED_VALUE"""),2.0)</f>
        <v>2</v>
      </c>
      <c r="G40" s="55"/>
      <c r="H40" s="56">
        <f>IFERROR(__xludf.DUMMYFUNCTION("""COMPUTED_VALUE"""),10.0)</f>
        <v>10</v>
      </c>
      <c r="I40" s="57"/>
      <c r="J40" s="58">
        <f>IFERROR(__xludf.DUMMYFUNCTION("""COMPUTED_VALUE"""),10.0)</f>
        <v>10</v>
      </c>
      <c r="K40" s="51"/>
      <c r="L40" s="60">
        <f>IFERROR(__xludf.DUMMYFUNCTION("""COMPUTED_VALUE"""),10.0)</f>
        <v>10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IFERROR(__xludf.DUMMYFUNCTION("""COMPUTED_VALUE"""),8.0)</f>
        <v>8</v>
      </c>
      <c r="F41" s="54">
        <f>IFERROR(__xludf.DUMMYFUNCTION("""COMPUTED_VALUE"""),2.0)</f>
        <v>2</v>
      </c>
      <c r="G41" s="55"/>
      <c r="H41" s="56">
        <f>IFERROR(__xludf.DUMMYFUNCTION("""COMPUTED_VALUE"""),10.0)</f>
        <v>10</v>
      </c>
      <c r="I41" s="57">
        <f>IFERROR(__xludf.DUMMYFUNCTION("""COMPUTED_VALUE"""),1.0)</f>
        <v>1</v>
      </c>
      <c r="J41" s="58">
        <f>IFERROR(__xludf.DUMMYFUNCTION("""COMPUTED_VALUE"""),10.0)</f>
        <v>10</v>
      </c>
      <c r="K41" s="51"/>
      <c r="L41" s="60">
        <f>IFERROR(__xludf.DUMMYFUNCTION("""COMPUTED_VALUE"""),10.0)</f>
        <v>10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IFERROR(__xludf.DUMMYFUNCTION("""COMPUTED_VALUE"""),7.0)</f>
        <v>7</v>
      </c>
      <c r="F42" s="54">
        <f>IFERROR(__xludf.DUMMYFUNCTION("""COMPUTED_VALUE"""),2.0)</f>
        <v>2</v>
      </c>
      <c r="G42" s="55"/>
      <c r="H42" s="56">
        <f>IFERROR(__xludf.DUMMYFUNCTION("""COMPUTED_VALUE"""),9.0)</f>
        <v>9</v>
      </c>
      <c r="I42" s="57">
        <f>IFERROR(__xludf.DUMMYFUNCTION("""COMPUTED_VALUE"""),2.0)</f>
        <v>2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IFERROR(__xludf.DUMMYFUNCTION("""COMPUTED_VALUE"""),6.0)</f>
        <v>6</v>
      </c>
      <c r="F43" s="54">
        <f>IFERROR(__xludf.DUMMYFUNCTION("""COMPUTED_VALUE"""),2.0)</f>
        <v>2</v>
      </c>
      <c r="G43" s="55"/>
      <c r="H43" s="56">
        <f>IFERROR(__xludf.DUMMYFUNCTION("""COMPUTED_VALUE"""),8.0)</f>
        <v>8</v>
      </c>
      <c r="I43" s="57">
        <f>IFERROR(__xludf.DUMMYFUNCTION("""COMPUTED_VALUE"""),1.0)</f>
        <v>1</v>
      </c>
      <c r="J43" s="58">
        <f>IFERROR(__xludf.DUMMYFUNCTION("""COMPUTED_VALUE"""),8.0)</f>
        <v>8</v>
      </c>
      <c r="K43" s="51"/>
      <c r="L43" s="60">
        <f>IFERROR(__xludf.DUMMYFUNCTION("""COMPUTED_VALUE"""),8.0)</f>
        <v>8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IFERROR(__xludf.DUMMYFUNCTION("""COMPUTED_VALUE"""),8.0)</f>
        <v>8</v>
      </c>
      <c r="F44" s="54">
        <f>IFERROR(__xludf.DUMMYFUNCTION("""COMPUTED_VALUE"""),2.0)</f>
        <v>2</v>
      </c>
      <c r="G44" s="55"/>
      <c r="H44" s="56">
        <f>IFERROR(__xludf.DUMMYFUNCTION("""COMPUTED_VALUE"""),10.0)</f>
        <v>10</v>
      </c>
      <c r="I44" s="57">
        <f>IFERROR(__xludf.DUMMYFUNCTION("""COMPUTED_VALUE"""),1.0)</f>
        <v>1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/>
      <c r="H45" s="56">
        <f>IFERROR(__xludf.DUMMYFUNCTION("""COMPUTED_VALUE"""),10.0)</f>
        <v>10</v>
      </c>
      <c r="I45" s="57">
        <f>IFERROR(__xludf.DUMMYFUNCTION("""COMPUTED_VALUE"""),1.0)</f>
        <v>1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IFERROR(__xludf.DUMMYFUNCTION("""COMPUTED_VALUE"""),6.0)</f>
        <v>6</v>
      </c>
      <c r="F46" s="54">
        <f>IFERROR(__xludf.DUMMYFUNCTION("""COMPUTED_VALUE"""),2.0)</f>
        <v>2</v>
      </c>
      <c r="G46" s="55">
        <f>IFERROR(__xludf.DUMMYFUNCTION("""COMPUTED_VALUE"""),1.0)</f>
        <v>1</v>
      </c>
      <c r="H46" s="56">
        <f>IFERROR(__xludf.DUMMYFUNCTION("""COMPUTED_VALUE"""),9.0)</f>
        <v>9</v>
      </c>
      <c r="I46" s="57">
        <f>IFERROR(__xludf.DUMMYFUNCTION("""COMPUTED_VALUE"""),1.0)</f>
        <v>1</v>
      </c>
      <c r="J46" s="58">
        <f>IFERROR(__xludf.DUMMYFUNCTION("""COMPUTED_VALUE"""),9.0)</f>
        <v>9</v>
      </c>
      <c r="K46" s="51"/>
      <c r="L46" s="60">
        <f>IFERROR(__xludf.DUMMYFUNCTION("""COMPUTED_VALUE"""),9.0)</f>
        <v>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IFERROR(__xludf.DUMMYFUNCTION("""COMPUTED_VALUE"""),6.0)</f>
        <v>6</v>
      </c>
      <c r="F47" s="54">
        <f>IFERROR(__xludf.DUMMYFUNCTION("""COMPUTED_VALUE"""),2.0)</f>
        <v>2</v>
      </c>
      <c r="G47" s="55">
        <f>IFERROR(__xludf.DUMMYFUNCTION("""COMPUTED_VALUE"""),1.0)</f>
        <v>1</v>
      </c>
      <c r="H47" s="56">
        <f>IFERROR(__xludf.DUMMYFUNCTION("""COMPUTED_VALUE"""),9.0)</f>
        <v>9</v>
      </c>
      <c r="I47" s="57"/>
      <c r="J47" s="58">
        <f>IFERROR(__xludf.DUMMYFUNCTION("""COMPUTED_VALUE"""),9.0)</f>
        <v>9</v>
      </c>
      <c r="K47" s="51"/>
      <c r="L47" s="60">
        <f>IFERROR(__xludf.DUMMYFUNCTION("""COMPUTED_VALUE"""),9.0)</f>
        <v>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IFERROR(__xludf.DUMMYFUNCTION("""COMPUTED_VALUE"""),7.0)</f>
        <v>7</v>
      </c>
      <c r="F48" s="54">
        <f>IFERROR(__xludf.DUMMYFUNCTION("""COMPUTED_VALUE"""),2.0)</f>
        <v>2</v>
      </c>
      <c r="G48" s="55"/>
      <c r="H48" s="56">
        <f>IFERROR(__xludf.DUMMYFUNCTION("""COMPUTED_VALUE"""),9.0)</f>
        <v>9</v>
      </c>
      <c r="I48" s="57"/>
      <c r="J48" s="58">
        <f>IFERROR(__xludf.DUMMYFUNCTION("""COMPUTED_VALUE"""),9.0)</f>
        <v>9</v>
      </c>
      <c r="K48" s="51"/>
      <c r="L48" s="60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IFERROR(__xludf.DUMMYFUNCTION("""COMPUTED_VALUE"""),7.0)</f>
        <v>7</v>
      </c>
      <c r="F49" s="54">
        <f>IFERROR(__xludf.DUMMYFUNCTION("""COMPUTED_VALUE"""),2.0)</f>
        <v>2</v>
      </c>
      <c r="G49" s="55"/>
      <c r="H49" s="56">
        <f>IFERROR(__xludf.DUMMYFUNCTION("""COMPUTED_VALUE"""),9.0)</f>
        <v>9</v>
      </c>
      <c r="I49" s="57"/>
      <c r="J49" s="58">
        <f>IFERROR(__xludf.DUMMYFUNCTION("""COMPUTED_VALUE"""),9.0)</f>
        <v>9</v>
      </c>
      <c r="K49" s="51"/>
      <c r="L49" s="60">
        <f>IFERROR(__xludf.DUMMYFUNCTION("""COMPUTED_VALUE"""),9.0)</f>
        <v>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IFERROR(__xludf.DUMMYFUNCTION("""COMPUTED_VALUE"""),6.0)</f>
        <v>6</v>
      </c>
      <c r="F50" s="54">
        <f>IFERROR(__xludf.DUMMYFUNCTION("""COMPUTED_VALUE"""),2.0)</f>
        <v>2</v>
      </c>
      <c r="G50" s="55"/>
      <c r="H50" s="56">
        <f>IFERROR(__xludf.DUMMYFUNCTION("""COMPUTED_VALUE"""),8.0)</f>
        <v>8</v>
      </c>
      <c r="I50" s="57">
        <f>IFERROR(__xludf.DUMMYFUNCTION("""COMPUTED_VALUE"""),1.0)</f>
        <v>1</v>
      </c>
      <c r="J50" s="58">
        <f>IFERROR(__xludf.DUMMYFUNCTION("""COMPUTED_VALUE"""),8.0)</f>
        <v>8</v>
      </c>
      <c r="K50" s="51"/>
      <c r="L50" s="60">
        <f>IFERROR(__xludf.DUMMYFUNCTION("""COMPUTED_VALUE"""),8.0)</f>
        <v>8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/>
      <c r="H51" s="56">
        <f>IFERROR(__xludf.DUMMYFUNCTION("""COMPUTED_VALUE"""),10.0)</f>
        <v>10</v>
      </c>
      <c r="I51" s="57"/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IFERROR(__xludf.DUMMYFUNCTION("""COMPUTED_VALUE"""),6.0)</f>
        <v>6</v>
      </c>
      <c r="F52" s="54">
        <f>IFERROR(__xludf.DUMMYFUNCTION("""COMPUTED_VALUE"""),2.0)</f>
        <v>2</v>
      </c>
      <c r="G52" s="55"/>
      <c r="H52" s="56">
        <f>IFERROR(__xludf.DUMMYFUNCTION("""COMPUTED_VALUE"""),8.0)</f>
        <v>8</v>
      </c>
      <c r="I52" s="57">
        <f>IFERROR(__xludf.DUMMYFUNCTION("""COMPUTED_VALUE"""),1.0)</f>
        <v>1</v>
      </c>
      <c r="J52" s="58">
        <f>IFERROR(__xludf.DUMMYFUNCTION("""COMPUTED_VALUE"""),8.0)</f>
        <v>8</v>
      </c>
      <c r="K52" s="51"/>
      <c r="L52" s="59">
        <f>IFERROR(__xludf.DUMMYFUNCTION("""COMPUTED_VALUE"""),8.0)</f>
        <v>8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IFERROR(__xludf.DUMMYFUNCTION("""COMPUTED_VALUE"""),8.0)</f>
        <v>8</v>
      </c>
      <c r="F53" s="54">
        <f>IFERROR(__xludf.DUMMYFUNCTION("""COMPUTED_VALUE"""),2.0)</f>
        <v>2</v>
      </c>
      <c r="G53" s="55"/>
      <c r="H53" s="56">
        <f>IFERROR(__xludf.DUMMYFUNCTION("""COMPUTED_VALUE"""),10.0)</f>
        <v>10</v>
      </c>
      <c r="I53" s="57"/>
      <c r="J53" s="58">
        <f>IFERROR(__xludf.DUMMYFUNCTION("""COMPUTED_VALUE"""),10.0)</f>
        <v>10</v>
      </c>
      <c r="K53" s="51"/>
      <c r="L53" s="59">
        <f>IFERROR(__xludf.DUMMYFUNCTION("""COMPUTED_VALUE"""),10.0)</f>
        <v>10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IFERROR(__xludf.DUMMYFUNCTION("""COMPUTED_VALUE"""),8.0)</f>
        <v>8</v>
      </c>
      <c r="F54" s="54">
        <f>IFERROR(__xludf.DUMMYFUNCTION("""COMPUTED_VALUE"""),2.0)</f>
        <v>2</v>
      </c>
      <c r="G54" s="55"/>
      <c r="H54" s="56">
        <f>IFERROR(__xludf.DUMMYFUNCTION("""COMPUTED_VALUE"""),10.0)</f>
        <v>10</v>
      </c>
      <c r="I54" s="57"/>
      <c r="J54" s="58">
        <f>IFERROR(__xludf.DUMMYFUNCTION("""COMPUTED_VALUE"""),10.0)</f>
        <v>10</v>
      </c>
      <c r="K54" s="51"/>
      <c r="L54" s="59">
        <f>IFERROR(__xludf.DUMMYFUNCTION("""COMPUTED_VALUE"""),10.0)</f>
        <v>10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IFERROR(__xludf.DUMMYFUNCTION("""COMPUTED_VALUE"""),7.0)</f>
        <v>7</v>
      </c>
      <c r="F55" s="54">
        <f>IFERROR(__xludf.DUMMYFUNCTION("""COMPUTED_VALUE"""),2.0)</f>
        <v>2</v>
      </c>
      <c r="G55" s="55"/>
      <c r="H55" s="56">
        <f>IFERROR(__xludf.DUMMYFUNCTION("""COMPUTED_VALUE"""),9.0)</f>
        <v>9</v>
      </c>
      <c r="I55" s="61">
        <f>IFERROR(__xludf.DUMMYFUNCTION("""COMPUTED_VALUE"""),1.0)</f>
        <v>1</v>
      </c>
      <c r="J55" s="58">
        <f>IFERROR(__xludf.DUMMYFUNCTION("""COMPUTED_VALUE"""),9.0)</f>
        <v>9</v>
      </c>
      <c r="K55" s="51"/>
      <c r="L55" s="59">
        <f>IFERROR(__xludf.DUMMYFUNCTION("""COMPUTED_VALUE"""),9.0)</f>
        <v>9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IFERROR(__xludf.DUMMYFUNCTION("""COMPUTED_VALUE"""),5.0)</f>
        <v>5</v>
      </c>
      <c r="F56" s="54">
        <f>IFERROR(__xludf.DUMMYFUNCTION("""COMPUTED_VALUE"""),2.0)</f>
        <v>2</v>
      </c>
      <c r="G56" s="55"/>
      <c r="H56" s="56">
        <f>IFERROR(__xludf.DUMMYFUNCTION("""COMPUTED_VALUE"""),7.0)</f>
        <v>7</v>
      </c>
      <c r="I56" s="61">
        <f>IFERROR(__xludf.DUMMYFUNCTION("""COMPUTED_VALUE"""),1.0)</f>
        <v>1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IFERROR(__xludf.DUMMYFUNCTION("""COMPUTED_VALUE"""),6.0)</f>
        <v>6</v>
      </c>
      <c r="F57" s="54">
        <f>IFERROR(__xludf.DUMMYFUNCTION("""COMPUTED_VALUE"""),2.0)</f>
        <v>2</v>
      </c>
      <c r="G57" s="55">
        <f>IFERROR(__xludf.DUMMYFUNCTION("""COMPUTED_VALUE"""),1.0)</f>
        <v>1</v>
      </c>
      <c r="H57" s="56">
        <f>IFERROR(__xludf.DUMMYFUNCTION("""COMPUTED_VALUE"""),9.0)</f>
        <v>9</v>
      </c>
      <c r="I57" s="61"/>
      <c r="J57" s="58">
        <f>IFERROR(__xludf.DUMMYFUNCTION("""COMPUTED_VALUE"""),9.0)</f>
        <v>9</v>
      </c>
      <c r="K57" s="51"/>
      <c r="L57" s="59">
        <f>IFERROR(__xludf.DUMMYFUNCTION("""COMPUTED_VALUE"""),9.0)</f>
        <v>9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IFERROR(__xludf.DUMMYFUNCTION("""COMPUTED_VALUE"""),6.0)</f>
        <v>6</v>
      </c>
      <c r="F58" s="54">
        <f>IFERROR(__xludf.DUMMYFUNCTION("""COMPUTED_VALUE"""),2.0)</f>
        <v>2</v>
      </c>
      <c r="G58" s="55">
        <f>IFERROR(__xludf.DUMMYFUNCTION("""COMPUTED_VALUE"""),1.0)</f>
        <v>1</v>
      </c>
      <c r="H58" s="56">
        <f>IFERROR(__xludf.DUMMYFUNCTION("""COMPUTED_VALUE"""),9.0)</f>
        <v>9</v>
      </c>
      <c r="I58" s="61"/>
      <c r="J58" s="58">
        <f>IFERROR(__xludf.DUMMYFUNCTION("""COMPUTED_VALUE"""),9.0)</f>
        <v>9</v>
      </c>
      <c r="K58" s="51"/>
      <c r="L58" s="59">
        <f>IFERROR(__xludf.DUMMYFUNCTION("""COMPUTED_VALUE"""),9.0)</f>
        <v>9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>
        <f>IFERROR(__xludf.DUMMYFUNCTION("""COMPUTED_VALUE"""),1.0)</f>
        <v>1</v>
      </c>
      <c r="H59" s="56">
        <f>IFERROR(__xludf.DUMMYFUNCTION("""COMPUTED_VALUE"""),9.0)</f>
        <v>9</v>
      </c>
      <c r="I59" s="61"/>
      <c r="J59" s="58">
        <f>IFERROR(__xludf.DUMMYFUNCTION("""COMPUTED_VALUE"""),9.0)</f>
        <v>9</v>
      </c>
      <c r="K59" s="51"/>
      <c r="L59" s="59">
        <f>IFERROR(__xludf.DUMMYFUNCTION("""COMPUTED_VALUE"""),9.0)</f>
        <v>9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IFERROR(__xludf.DUMMYFUNCTION("""COMPUTED_VALUE"""),6.0)</f>
        <v>6</v>
      </c>
      <c r="F60" s="54">
        <f>IFERROR(__xludf.DUMMYFUNCTION("""COMPUTED_VALUE"""),2.0)</f>
        <v>2</v>
      </c>
      <c r="G60" s="55">
        <f>IFERROR(__xludf.DUMMYFUNCTION("""COMPUTED_VALUE"""),1.0)</f>
        <v>1</v>
      </c>
      <c r="H60" s="56">
        <f>IFERROR(__xludf.DUMMYFUNCTION("""COMPUTED_VALUE"""),9.0)</f>
        <v>9</v>
      </c>
      <c r="I60" s="61"/>
      <c r="J60" s="58">
        <f>IFERROR(__xludf.DUMMYFUNCTION("""COMPUTED_VALUE"""),9.0)</f>
        <v>9</v>
      </c>
      <c r="K60" s="51"/>
      <c r="L60" s="59">
        <f>IFERROR(__xludf.DUMMYFUNCTION("""COMPUTED_VALUE"""),9.0)</f>
        <v>9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IFERROR(__xludf.DUMMYFUNCTION("""COMPUTED_VALUE"""),8.0)</f>
        <v>8</v>
      </c>
      <c r="F61" s="54">
        <f>IFERROR(__xludf.DUMMYFUNCTION("""COMPUTED_VALUE"""),2.0)</f>
        <v>2</v>
      </c>
      <c r="G61" s="55"/>
      <c r="H61" s="56">
        <f>IFERROR(__xludf.DUMMYFUNCTION("""COMPUTED_VALUE"""),10.0)</f>
        <v>10</v>
      </c>
      <c r="I61" s="61"/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IFERROR(__xludf.DUMMYFUNCTION("""COMPUTED_VALUE"""),45.0)</f>
        <v>45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IFERROR(__xludf.DUMMYFUNCTION("""COMPUTED_VALUE"""),0.0)</f>
        <v>0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IFERROR(__xludf.DUMMYFUNCTION("""COMPUTED_VALUE"""),100.0)</f>
        <v>100</v>
      </c>
      <c r="E68" s="65"/>
      <c r="F68" s="89" t="str">
        <f>IFERROR(__xludf.DUMMYFUNCTION("""COMPUTED_VALUE"""),"PROFR. ")</f>
        <v>PROFR. 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IFERROR(__xludf.DUMMYFUNCTION("""COMPUTED_VALUE"""),9.177777777777777)</f>
        <v>9.177777778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5" width="16.71"/>
    <col customWidth="1" min="6" max="6" width="14.57"/>
    <col customWidth="1" min="7" max="9" width="13.71"/>
    <col customWidth="1" min="10" max="10" width="19.71"/>
    <col customWidth="1" min="11" max="11" width="36.43"/>
    <col customWidth="1" min="12" max="12" width="0.43"/>
    <col customWidth="1" min="13" max="26" width="10.71"/>
  </cols>
  <sheetData>
    <row r="1" ht="13.5" customHeight="1">
      <c r="A1" s="1" t="str">
        <f>IFERROR(__xludf.DUMMYFUNCTION("IMPORTRANGE(""https://docs.google.com/spreadsheets/d/1fKGazNVpBpa9ayL3aPl10gt6zPqOsT3bnK5RQC4-Tp8/edit?gid=1835546320#gid=1835546320"",""3-1 temas selectos de igualdad y derechos humanos!A1:Q85"")"),"")</f>
        <v/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0" customHeight="1">
      <c r="A2" s="2"/>
      <c r="B2" s="3"/>
      <c r="C2" s="3"/>
      <c r="D2" s="3"/>
      <c r="E2" s="4"/>
      <c r="F2" s="4"/>
      <c r="G2" s="4"/>
      <c r="H2" s="4"/>
      <c r="I2" s="4"/>
      <c r="J2" s="4"/>
      <c r="K2" s="5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6"/>
      <c r="B3" s="7"/>
      <c r="C3" s="7"/>
      <c r="D3" s="7"/>
      <c r="E3" s="1"/>
      <c r="F3" s="1"/>
      <c r="G3" s="1"/>
      <c r="H3" s="1"/>
      <c r="I3" s="1"/>
      <c r="J3" s="1"/>
      <c r="K3" s="8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6"/>
      <c r="B4" s="7"/>
      <c r="C4" s="7"/>
      <c r="D4" s="7"/>
      <c r="E4" s="1"/>
      <c r="F4" s="1"/>
      <c r="G4" s="1"/>
      <c r="H4" s="1"/>
      <c r="I4" s="1"/>
      <c r="J4" s="1"/>
      <c r="K4" s="8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6"/>
      <c r="B5" s="7"/>
      <c r="C5" s="7"/>
      <c r="D5" s="7"/>
      <c r="E5" s="1"/>
      <c r="F5" s="1"/>
      <c r="G5" s="1"/>
      <c r="H5" s="1"/>
      <c r="I5" s="1"/>
      <c r="J5" s="1"/>
      <c r="K5" s="8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6"/>
      <c r="B6" s="7"/>
      <c r="C6" s="7"/>
      <c r="D6" s="7"/>
      <c r="E6" s="1"/>
      <c r="F6" s="1"/>
      <c r="G6" s="1"/>
      <c r="H6" s="1"/>
      <c r="I6" s="1"/>
      <c r="J6" s="1"/>
      <c r="K6" s="8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6"/>
      <c r="B7" s="7"/>
      <c r="C7" s="7"/>
      <c r="D7" s="7"/>
      <c r="E7" s="1"/>
      <c r="F7" s="1"/>
      <c r="G7" s="1"/>
      <c r="H7" s="1"/>
      <c r="I7" s="1"/>
      <c r="J7" s="1"/>
      <c r="K7" s="8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9.75" customHeight="1">
      <c r="A8" s="6"/>
      <c r="B8" s="7"/>
      <c r="C8" s="7"/>
      <c r="D8" s="7"/>
      <c r="E8" s="1"/>
      <c r="F8" s="1"/>
      <c r="G8" s="1"/>
      <c r="H8" s="1"/>
      <c r="I8" s="1"/>
      <c r="J8" s="1"/>
      <c r="K8" s="8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3.25" customHeight="1">
      <c r="A9" s="9" t="str">
        <f>IFERROR(__xludf.DUMMYFUNCTION("""COMPUTED_VALUE"""),"ESCUELA PREPARATORIA OFICIAL NÚM. 67")</f>
        <v>ESCUELA PREPARATORIA OFICIAL NÚM. 67</v>
      </c>
      <c r="K9" s="10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9.75" customHeight="1">
      <c r="A10" s="6"/>
      <c r="B10" s="7"/>
      <c r="C10" s="7"/>
      <c r="D10" s="7"/>
      <c r="E10" s="11"/>
      <c r="K10" s="10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6"/>
      <c r="B11" s="12" t="str">
        <f>IFERROR(__xludf.DUMMYFUNCTION("""COMPUTED_VALUE"""),"CONTROL PRIMER PARCIAL ")</f>
        <v>CONTROL PRIMER PARCIAL </v>
      </c>
      <c r="C11" s="12"/>
      <c r="D11" s="12"/>
      <c r="E11" s="13"/>
      <c r="F11" s="1"/>
      <c r="G11" s="1"/>
      <c r="H11" s="1"/>
      <c r="I11" s="1"/>
      <c r="J11" s="13"/>
      <c r="K11" s="14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2.75" customHeight="1">
      <c r="A12" s="6"/>
      <c r="B12" s="15"/>
      <c r="C12" s="15"/>
      <c r="D12" s="15"/>
      <c r="E12" s="13"/>
      <c r="F12" s="1"/>
      <c r="G12" s="1"/>
      <c r="H12" s="1"/>
      <c r="I12" s="1"/>
      <c r="J12" s="13"/>
      <c r="K12" s="14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2.25" customHeight="1">
      <c r="A13" s="16" t="str">
        <f>IFERROR(__xludf.DUMMYFUNCTION("""COMPUTED_VALUE"""),"PROFESOR (A): ")</f>
        <v>PROFESOR (A): </v>
      </c>
      <c r="B13" s="17"/>
      <c r="C13" s="18" t="str">
        <f>IFERROR(__xludf.DUMMYFUNCTION("""COMPUTED_VALUE"""),"IVÁN HERNÁNDEZ PÉREZ")</f>
        <v>IVÁN HERNÁNDEZ PÉREZ</v>
      </c>
      <c r="D13" s="17"/>
      <c r="E13" s="19" t="str">
        <f>IFERROR(__xludf.DUMMYFUNCTION("""COMPUTED_VALUE"""),"II")</f>
        <v>II</v>
      </c>
      <c r="F13" s="19" t="str">
        <f>IFERROR(__xludf.DUMMYFUNCTION("""COMPUTED_VALUE"""),"III")</f>
        <v>III</v>
      </c>
      <c r="G13" s="20" t="str">
        <f>IFERROR(__xludf.DUMMYFUNCTION("""COMPUTED_VALUE"""),"PUNTAJE EXTRA")</f>
        <v>PUNTAJE EXTRA</v>
      </c>
      <c r="H13" s="21">
        <f>IFERROR(__xludf.DUMMYFUNCTION("""COMPUTED_VALUE"""),1.0)</f>
        <v>1</v>
      </c>
      <c r="I13" s="22" t="str">
        <f>IFERROR(__xludf.DUMMYFUNCTION("""COMPUTED_VALUE"""),"SEXTO SEMESTRE
MATUTINO")</f>
        <v>SEXTO SEMESTRE
MATUTINO</v>
      </c>
      <c r="J13" s="23"/>
      <c r="K13" s="24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5.25" customHeight="1">
      <c r="A14" s="25" t="str">
        <f>IFERROR(__xludf.DUMMYFUNCTION("""COMPUTED_VALUE"""),"UAC")</f>
        <v>UAC</v>
      </c>
      <c r="B14" s="26" t="str">
        <f>IFERROR(__xludf.DUMMYFUNCTION("""COMPUTED_VALUE"""),"TEMAS SELECTOS DE IGUALDAD Y DERECHOS HUMANOS VI")</f>
        <v>TEMAS SELECTOS DE IGUALDAD Y DERECHOS HUMANOS VI</v>
      </c>
      <c r="C14" s="27"/>
      <c r="D14" s="28"/>
      <c r="E14" s="29" t="str">
        <f>IFERROR(__xludf.DUMMYFUNCTION("""COMPUTED_VALUE"""),"Evaluación continua 80%")</f>
        <v>Evaluación continua 80%</v>
      </c>
      <c r="F14" s="30" t="str">
        <f>IFERROR(__xludf.DUMMYFUNCTION("""COMPUTED_VALUE"""),"Transversal 20%")</f>
        <v>Transversal 20%</v>
      </c>
      <c r="G14" s="31"/>
      <c r="H14" s="32"/>
      <c r="I14" s="33"/>
      <c r="J14" s="34"/>
      <c r="K14" s="35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75" customHeight="1">
      <c r="A15" s="36" t="str">
        <f>IFERROR(__xludf.DUMMYFUNCTION("""COMPUTED_VALUE"""),"GRADO")</f>
        <v>GRADO</v>
      </c>
      <c r="B15" s="37" t="str">
        <f>IFERROR(__xludf.DUMMYFUNCTION("""COMPUTED_VALUE"""),"3°")</f>
        <v>3°</v>
      </c>
      <c r="C15" s="38" t="str">
        <f>IFERROR(__xludf.DUMMYFUNCTION("""COMPUTED_VALUE"""),"GRUPO")</f>
        <v>GRUPO</v>
      </c>
      <c r="D15" s="38">
        <f>IFERROR(__xludf.DUMMYFUNCTION("""COMPUTED_VALUE"""),1.0)</f>
        <v>1</v>
      </c>
      <c r="E15" s="32"/>
      <c r="F15" s="32"/>
      <c r="G15" s="39"/>
      <c r="H15" s="40"/>
      <c r="I15" s="41"/>
      <c r="J15" s="27"/>
      <c r="K15" s="4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40.5" customHeight="1">
      <c r="A16" s="43" t="str">
        <f>IFERROR(__xludf.DUMMYFUNCTION("""COMPUTED_VALUE"""),"No.")</f>
        <v>No.</v>
      </c>
      <c r="B16" s="44" t="str">
        <f>IFERROR(__xludf.DUMMYFUNCTION("""COMPUTED_VALUE"""),"NOMBRE DEL ALUMNO")</f>
        <v>NOMBRE DEL ALUMNO</v>
      </c>
      <c r="C16" s="27"/>
      <c r="D16" s="28"/>
      <c r="E16" s="45"/>
      <c r="F16" s="46"/>
      <c r="G16" s="47"/>
      <c r="H16" s="48" t="str">
        <f>IFERROR(__xludf.DUMMYFUNCTION("""COMPUTED_VALUE"""),"Suma")</f>
        <v>Suma</v>
      </c>
      <c r="I16" s="49" t="str">
        <f>IFERROR(__xludf.DUMMYFUNCTION("""COMPUTED_VALUE"""),"Faltas")</f>
        <v>Faltas</v>
      </c>
      <c r="J16" s="49" t="str">
        <f>IFERROR(__xludf.DUMMYFUNCTION("""COMPUTED_VALUE"""),"Calificación Definitiva")</f>
        <v>Calificación Definitiva</v>
      </c>
      <c r="K16" s="50" t="str">
        <f>IFERROR(__xludf.DUMMYFUNCTION("""COMPUTED_VALUE"""),"FIRMA")</f>
        <v>FIRMA</v>
      </c>
      <c r="L16" s="49" t="str">
        <f>IFERROR(__xludf.DUMMYFUNCTION("""COMPUTED_VALUE"""),"Calificación Definitiva")</f>
        <v>Calificación Definitiva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75" customHeight="1">
      <c r="A17" s="51">
        <f>IFERROR(__xludf.DUMMYFUNCTION("""COMPUTED_VALUE"""),1.0)</f>
        <v>1</v>
      </c>
      <c r="B17" s="52" t="str">
        <f>IFERROR(__xludf.DUMMYFUNCTION("""COMPUTED_VALUE"""),"ABARCA")</f>
        <v>ABARCA</v>
      </c>
      <c r="C17" s="52" t="str">
        <f>IFERROR(__xludf.DUMMYFUNCTION("""COMPUTED_VALUE"""),"MELENDEZ")</f>
        <v>MELENDEZ</v>
      </c>
      <c r="D17" s="53" t="str">
        <f>IFERROR(__xludf.DUMMYFUNCTION("""COMPUTED_VALUE"""),"ANDRES SAID")</f>
        <v>ANDRES SAID</v>
      </c>
      <c r="E17" s="54">
        <f>IFERROR(__xludf.DUMMYFUNCTION("""COMPUTED_VALUE"""),8.0)</f>
        <v>8</v>
      </c>
      <c r="F17" s="54">
        <f>IFERROR(__xludf.DUMMYFUNCTION("""COMPUTED_VALUE"""),2.0)</f>
        <v>2</v>
      </c>
      <c r="G17" s="55">
        <f>IFERROR(__xludf.DUMMYFUNCTION("""COMPUTED_VALUE"""),0.0)</f>
        <v>0</v>
      </c>
      <c r="H17" s="56">
        <f>IFERROR(__xludf.DUMMYFUNCTION("""COMPUTED_VALUE"""),10.0)</f>
        <v>10</v>
      </c>
      <c r="I17" s="57">
        <f>IFERROR(__xludf.DUMMYFUNCTION("""COMPUTED_VALUE"""),0.0)</f>
        <v>0</v>
      </c>
      <c r="J17" s="58">
        <f>IFERROR(__xludf.DUMMYFUNCTION("""COMPUTED_VALUE"""),10.0)</f>
        <v>10</v>
      </c>
      <c r="K17" s="59"/>
      <c r="L17" s="60">
        <f>IFERROR(__xludf.DUMMYFUNCTION("""COMPUTED_VALUE"""),10.0)</f>
        <v>10</v>
      </c>
      <c r="M17" s="1" t="str">
        <f>IFERROR(__xludf.DUMMYFUNCTION("""COMPUTED_VALUE"""),"HORAS IMPARTIDAS")</f>
        <v>HORAS IMPARTIDAS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75" customHeight="1">
      <c r="A18" s="51">
        <f>IFERROR(__xludf.DUMMYFUNCTION("""COMPUTED_VALUE"""),2.0)</f>
        <v>2</v>
      </c>
      <c r="B18" s="52" t="str">
        <f>IFERROR(__xludf.DUMMYFUNCTION("""COMPUTED_VALUE"""),"ALCANTARA")</f>
        <v>ALCANTARA</v>
      </c>
      <c r="C18" s="52" t="str">
        <f>IFERROR(__xludf.DUMMYFUNCTION("""COMPUTED_VALUE"""),"BELTRAN")</f>
        <v>BELTRAN</v>
      </c>
      <c r="D18" s="53" t="str">
        <f>IFERROR(__xludf.DUMMYFUNCTION("""COMPUTED_VALUE"""),"JESSICA")</f>
        <v>JESSICA</v>
      </c>
      <c r="E18" s="54">
        <f>IFERROR(__xludf.DUMMYFUNCTION("""COMPUTED_VALUE"""),8.0)</f>
        <v>8</v>
      </c>
      <c r="F18" s="54">
        <f>IFERROR(__xludf.DUMMYFUNCTION("""COMPUTED_VALUE"""),2.0)</f>
        <v>2</v>
      </c>
      <c r="G18" s="55">
        <f>IFERROR(__xludf.DUMMYFUNCTION("""COMPUTED_VALUE"""),0.0)</f>
        <v>0</v>
      </c>
      <c r="H18" s="56">
        <f>IFERROR(__xludf.DUMMYFUNCTION("""COMPUTED_VALUE"""),10.0)</f>
        <v>10</v>
      </c>
      <c r="I18" s="57">
        <f>IFERROR(__xludf.DUMMYFUNCTION("""COMPUTED_VALUE"""),0.0)</f>
        <v>0</v>
      </c>
      <c r="J18" s="58">
        <f>IFERROR(__xludf.DUMMYFUNCTION("""COMPUTED_VALUE"""),10.0)</f>
        <v>10</v>
      </c>
      <c r="K18" s="51"/>
      <c r="L18" s="60">
        <f>IFERROR(__xludf.DUMMYFUNCTION("""COMPUTED_VALUE"""),10.0)</f>
        <v>10</v>
      </c>
      <c r="M18" s="1" t="str">
        <f>IFERROR(__xludf.DUMMYFUNCTION("""COMPUTED_VALUE"""),"Febrero")</f>
        <v>Febrero</v>
      </c>
      <c r="N18" s="1">
        <f>IFERROR(__xludf.DUMMYFUNCTION("""COMPUTED_VALUE"""),2.0)</f>
        <v>2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75" customHeight="1">
      <c r="A19" s="51">
        <f>IFERROR(__xludf.DUMMYFUNCTION("""COMPUTED_VALUE"""),3.0)</f>
        <v>3</v>
      </c>
      <c r="B19" s="52" t="str">
        <f>IFERROR(__xludf.DUMMYFUNCTION("""COMPUTED_VALUE"""),"ALVAREZ")</f>
        <v>ALVAREZ</v>
      </c>
      <c r="C19" s="52" t="str">
        <f>IFERROR(__xludf.DUMMYFUNCTION("""COMPUTED_VALUE"""),"BERNALDO")</f>
        <v>BERNALDO</v>
      </c>
      <c r="D19" s="53" t="str">
        <f>IFERROR(__xludf.DUMMYFUNCTION("""COMPUTED_VALUE"""),"ANGEL ALBERTO")</f>
        <v>ANGEL ALBERTO</v>
      </c>
      <c r="E19" s="55">
        <f>IFERROR(__xludf.DUMMYFUNCTION("""COMPUTED_VALUE"""),4.5)</f>
        <v>4.5</v>
      </c>
      <c r="F19" s="54">
        <f>IFERROR(__xludf.DUMMYFUNCTION("""COMPUTED_VALUE"""),2.0)</f>
        <v>2</v>
      </c>
      <c r="G19" s="55">
        <f>IFERROR(__xludf.DUMMYFUNCTION("""COMPUTED_VALUE"""),0.0)</f>
        <v>0</v>
      </c>
      <c r="H19" s="56">
        <f>IFERROR(__xludf.DUMMYFUNCTION("""COMPUTED_VALUE"""),6.5)</f>
        <v>6.5</v>
      </c>
      <c r="I19" s="57">
        <f>IFERROR(__xludf.DUMMYFUNCTION("""COMPUTED_VALUE"""),0.0)</f>
        <v>0</v>
      </c>
      <c r="J19" s="58">
        <f>IFERROR(__xludf.DUMMYFUNCTION("""COMPUTED_VALUE"""),7.0)</f>
        <v>7</v>
      </c>
      <c r="K19" s="51"/>
      <c r="L19" s="60">
        <f>IFERROR(__xludf.DUMMYFUNCTION("""COMPUTED_VALUE"""),7.0)</f>
        <v>7</v>
      </c>
      <c r="M19" s="1" t="str">
        <f>IFERROR(__xludf.DUMMYFUNCTION("""COMPUTED_VALUE"""),"Marzo")</f>
        <v>Marzo</v>
      </c>
      <c r="N19" s="1">
        <f>IFERROR(__xludf.DUMMYFUNCTION("""COMPUTED_VALUE"""),4.0)</f>
        <v>4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75" customHeight="1">
      <c r="A20" s="51">
        <f>IFERROR(__xludf.DUMMYFUNCTION("""COMPUTED_VALUE"""),4.0)</f>
        <v>4</v>
      </c>
      <c r="B20" s="52" t="str">
        <f>IFERROR(__xludf.DUMMYFUNCTION("""COMPUTED_VALUE"""),"ALVAREZ")</f>
        <v>ALVAREZ</v>
      </c>
      <c r="C20" s="52" t="str">
        <f>IFERROR(__xludf.DUMMYFUNCTION("""COMPUTED_VALUE"""),"GONZALEZ")</f>
        <v>GONZALEZ</v>
      </c>
      <c r="D20" s="53" t="str">
        <f>IFERROR(__xludf.DUMMYFUNCTION("""COMPUTED_VALUE"""),"ALLISON JADE")</f>
        <v>ALLISON JADE</v>
      </c>
      <c r="E20" s="54">
        <f>IFERROR(__xludf.DUMMYFUNCTION("""COMPUTED_VALUE"""),7.8)</f>
        <v>7.8</v>
      </c>
      <c r="F20" s="54">
        <f>IFERROR(__xludf.DUMMYFUNCTION("""COMPUTED_VALUE"""),2.0)</f>
        <v>2</v>
      </c>
      <c r="G20" s="55">
        <f>IFERROR(__xludf.DUMMYFUNCTION("""COMPUTED_VALUE"""),0.0)</f>
        <v>0</v>
      </c>
      <c r="H20" s="56">
        <f>IFERROR(__xludf.DUMMYFUNCTION("""COMPUTED_VALUE"""),9.8)</f>
        <v>9.8</v>
      </c>
      <c r="I20" s="57">
        <f>IFERROR(__xludf.DUMMYFUNCTION("""COMPUTED_VALUE"""),0.0)</f>
        <v>0</v>
      </c>
      <c r="J20" s="58">
        <f>IFERROR(__xludf.DUMMYFUNCTION("""COMPUTED_VALUE"""),10.0)</f>
        <v>10</v>
      </c>
      <c r="K20" s="51"/>
      <c r="L20" s="60">
        <f>IFERROR(__xludf.DUMMYFUNCTION("""COMPUTED_VALUE"""),10.0)</f>
        <v>10</v>
      </c>
      <c r="M20" s="1" t="str">
        <f>IFERROR(__xludf.DUMMYFUNCTION("""COMPUTED_VALUE"""),"Abril")</f>
        <v>Abril</v>
      </c>
      <c r="N20" s="1">
        <f>IFERROR(__xludf.DUMMYFUNCTION("""COMPUTED_VALUE"""),3.0)</f>
        <v>3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75" customHeight="1">
      <c r="A21" s="51">
        <f>IFERROR(__xludf.DUMMYFUNCTION("""COMPUTED_VALUE"""),5.0)</f>
        <v>5</v>
      </c>
      <c r="B21" s="52" t="str">
        <f>IFERROR(__xludf.DUMMYFUNCTION("""COMPUTED_VALUE"""),"ANZALDO")</f>
        <v>ANZALDO</v>
      </c>
      <c r="C21" s="52" t="str">
        <f>IFERROR(__xludf.DUMMYFUNCTION("""COMPUTED_VALUE"""),"MARTINEZ")</f>
        <v>MARTINEZ</v>
      </c>
      <c r="D21" s="53" t="str">
        <f>IFERROR(__xludf.DUMMYFUNCTION("""COMPUTED_VALUE"""),"NAYONEL YAEL")</f>
        <v>NAYONEL YAEL</v>
      </c>
      <c r="E21" s="54">
        <f>IFERROR(__xludf.DUMMYFUNCTION("""COMPUTED_VALUE"""),0.0)</f>
        <v>0</v>
      </c>
      <c r="F21" s="54">
        <f>IFERROR(__xludf.DUMMYFUNCTION("""COMPUTED_VALUE"""),0.0)</f>
        <v>0</v>
      </c>
      <c r="G21" s="55">
        <f>IFERROR(__xludf.DUMMYFUNCTION("""COMPUTED_VALUE"""),0.0)</f>
        <v>0</v>
      </c>
      <c r="H21" s="56">
        <f>IFERROR(__xludf.DUMMYFUNCTION("""COMPUTED_VALUE"""),0.0)</f>
        <v>0</v>
      </c>
      <c r="I21" s="57">
        <f>IFERROR(__xludf.DUMMYFUNCTION("""COMPUTED_VALUE"""),0.0)</f>
        <v>0</v>
      </c>
      <c r="J21" s="58">
        <f>IFERROR(__xludf.DUMMYFUNCTION("""COMPUTED_VALUE"""),5.0)</f>
        <v>5</v>
      </c>
      <c r="K21" s="51"/>
      <c r="L21" s="60">
        <f>IFERROR(__xludf.DUMMYFUNCTION("""COMPUTED_VALUE"""),0.0)</f>
        <v>0</v>
      </c>
      <c r="M21" s="1" t="str">
        <f>IFERROR(__xludf.DUMMYFUNCTION("""COMPUTED_VALUE"""),"Mayo")</f>
        <v>Mayo</v>
      </c>
      <c r="N21" s="1">
        <f>IFERROR(__xludf.DUMMYFUNCTION("""COMPUTED_VALUE"""),3.0)</f>
        <v>3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75" customHeight="1">
      <c r="A22" s="51">
        <f>IFERROR(__xludf.DUMMYFUNCTION("""COMPUTED_VALUE"""),6.0)</f>
        <v>6</v>
      </c>
      <c r="B22" s="52" t="str">
        <f>IFERROR(__xludf.DUMMYFUNCTION("""COMPUTED_VALUE"""),"AVILA")</f>
        <v>AVILA</v>
      </c>
      <c r="C22" s="52" t="str">
        <f>IFERROR(__xludf.DUMMYFUNCTION("""COMPUTED_VALUE"""),"ESCAMILLA")</f>
        <v>ESCAMILLA</v>
      </c>
      <c r="D22" s="53" t="str">
        <f>IFERROR(__xludf.DUMMYFUNCTION("""COMPUTED_VALUE"""),"JUSTIN YAHEL")</f>
        <v>JUSTIN YAHEL</v>
      </c>
      <c r="E22" s="54">
        <f>IFERROR(__xludf.DUMMYFUNCTION("""COMPUTED_VALUE"""),4.3)</f>
        <v>4.3</v>
      </c>
      <c r="F22" s="54">
        <f>IFERROR(__xludf.DUMMYFUNCTION("""COMPUTED_VALUE"""),2.0)</f>
        <v>2</v>
      </c>
      <c r="G22" s="55">
        <f>IFERROR(__xludf.DUMMYFUNCTION("""COMPUTED_VALUE"""),0.0)</f>
        <v>0</v>
      </c>
      <c r="H22" s="56">
        <f>IFERROR(__xludf.DUMMYFUNCTION("""COMPUTED_VALUE"""),6.3)</f>
        <v>6.3</v>
      </c>
      <c r="I22" s="57">
        <f>IFERROR(__xludf.DUMMYFUNCTION("""COMPUTED_VALUE"""),0.0)</f>
        <v>0</v>
      </c>
      <c r="J22" s="58">
        <f>IFERROR(__xludf.DUMMYFUNCTION("""COMPUTED_VALUE"""),6.0)</f>
        <v>6</v>
      </c>
      <c r="K22" s="51"/>
      <c r="L22" s="60">
        <f>IFERROR(__xludf.DUMMYFUNCTION("""COMPUTED_VALUE"""),6.0)</f>
        <v>6</v>
      </c>
      <c r="M22" s="1" t="str">
        <f>IFERROR(__xludf.DUMMYFUNCTION("""COMPUTED_VALUE"""),"Junio")</f>
        <v>Junio</v>
      </c>
      <c r="N22" s="1">
        <f>IFERROR(__xludf.DUMMYFUNCTION("""COMPUTED_VALUE"""),5.0)</f>
        <v>5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75" customHeight="1">
      <c r="A23" s="51">
        <f>IFERROR(__xludf.DUMMYFUNCTION("""COMPUTED_VALUE"""),7.0)</f>
        <v>7</v>
      </c>
      <c r="B23" s="52" t="str">
        <f>IFERROR(__xludf.DUMMYFUNCTION("""COMPUTED_VALUE"""),"AYALA")</f>
        <v>AYALA</v>
      </c>
      <c r="C23" s="52" t="str">
        <f>IFERROR(__xludf.DUMMYFUNCTION("""COMPUTED_VALUE"""),"LARA")</f>
        <v>LARA</v>
      </c>
      <c r="D23" s="53" t="str">
        <f>IFERROR(__xludf.DUMMYFUNCTION("""COMPUTED_VALUE"""),"ISAAC")</f>
        <v>ISAAC</v>
      </c>
      <c r="E23" s="54">
        <f>IFERROR(__xludf.DUMMYFUNCTION("""COMPUTED_VALUE"""),6.5)</f>
        <v>6.5</v>
      </c>
      <c r="F23" s="54">
        <f>IFERROR(__xludf.DUMMYFUNCTION("""COMPUTED_VALUE"""),2.0)</f>
        <v>2</v>
      </c>
      <c r="G23" s="55">
        <f>IFERROR(__xludf.DUMMYFUNCTION("""COMPUTED_VALUE"""),0.0)</f>
        <v>0</v>
      </c>
      <c r="H23" s="56">
        <f>IFERROR(__xludf.DUMMYFUNCTION("""COMPUTED_VALUE"""),8.5)</f>
        <v>8.5</v>
      </c>
      <c r="I23" s="57">
        <f>IFERROR(__xludf.DUMMYFUNCTION("""COMPUTED_VALUE"""),0.0)</f>
        <v>0</v>
      </c>
      <c r="J23" s="58">
        <f>IFERROR(__xludf.DUMMYFUNCTION("""COMPUTED_VALUE"""),9.0)</f>
        <v>9</v>
      </c>
      <c r="K23" s="51"/>
      <c r="L23" s="60">
        <f>IFERROR(__xludf.DUMMYFUNCTION("""COMPUTED_VALUE"""),9.0)</f>
        <v>9</v>
      </c>
      <c r="M23" s="1" t="str">
        <f>IFERROR(__xludf.DUMMYFUNCTION("""COMPUTED_VALUE"""),"Julio")</f>
        <v>Julio</v>
      </c>
      <c r="N23" s="1">
        <f>IFERROR(__xludf.DUMMYFUNCTION("""COMPUTED_VALUE"""),2.0)</f>
        <v>2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75" customHeight="1">
      <c r="A24" s="51">
        <f>IFERROR(__xludf.DUMMYFUNCTION("""COMPUTED_VALUE"""),8.0)</f>
        <v>8</v>
      </c>
      <c r="B24" s="52" t="str">
        <f>IFERROR(__xludf.DUMMYFUNCTION("""COMPUTED_VALUE"""),"BATRES")</f>
        <v>BATRES</v>
      </c>
      <c r="C24" s="52" t="str">
        <f>IFERROR(__xludf.DUMMYFUNCTION("""COMPUTED_VALUE"""),"CERDA")</f>
        <v>CERDA</v>
      </c>
      <c r="D24" s="53" t="str">
        <f>IFERROR(__xludf.DUMMYFUNCTION("""COMPUTED_VALUE"""),"MARIA DEL PILAR")</f>
        <v>MARIA DEL PILAR</v>
      </c>
      <c r="E24" s="55">
        <f>IFERROR(__xludf.DUMMYFUNCTION("""COMPUTED_VALUE"""),6.5)</f>
        <v>6.5</v>
      </c>
      <c r="F24" s="54">
        <f>IFERROR(__xludf.DUMMYFUNCTION("""COMPUTED_VALUE"""),2.0)</f>
        <v>2</v>
      </c>
      <c r="G24" s="55">
        <f>IFERROR(__xludf.DUMMYFUNCTION("""COMPUTED_VALUE"""),0.0)</f>
        <v>0</v>
      </c>
      <c r="H24" s="56">
        <f>IFERROR(__xludf.DUMMYFUNCTION("""COMPUTED_VALUE"""),8.5)</f>
        <v>8.5</v>
      </c>
      <c r="I24" s="57">
        <f>IFERROR(__xludf.DUMMYFUNCTION("""COMPUTED_VALUE"""),0.0)</f>
        <v>0</v>
      </c>
      <c r="J24" s="58">
        <f>IFERROR(__xludf.DUMMYFUNCTION("""COMPUTED_VALUE"""),9.0)</f>
        <v>9</v>
      </c>
      <c r="K24" s="51"/>
      <c r="L24" s="60">
        <f>IFERROR(__xludf.DUMMYFUNCTION("""COMPUTED_VALUE"""),9.0)</f>
        <v>9</v>
      </c>
      <c r="M24" s="1" t="str">
        <f>IFERROR(__xludf.DUMMYFUNCTION("""COMPUTED_VALUE"""),"TOTAL")</f>
        <v>TOTAL</v>
      </c>
      <c r="N24" s="1">
        <f>IFERROR(__xludf.DUMMYFUNCTION("""COMPUTED_VALUE"""),19.0)</f>
        <v>19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75" customHeight="1">
      <c r="A25" s="51">
        <f>IFERROR(__xludf.DUMMYFUNCTION("""COMPUTED_VALUE"""),9.0)</f>
        <v>9</v>
      </c>
      <c r="B25" s="52" t="str">
        <f>IFERROR(__xludf.DUMMYFUNCTION("""COMPUTED_VALUE"""),"BONILLA")</f>
        <v>BONILLA</v>
      </c>
      <c r="C25" s="52" t="str">
        <f>IFERROR(__xludf.DUMMYFUNCTION("""COMPUTED_VALUE"""),"TREJO")</f>
        <v>TREJO</v>
      </c>
      <c r="D25" s="53" t="str">
        <f>IFERROR(__xludf.DUMMYFUNCTION("""COMPUTED_VALUE"""),"FRANCISCO TONATIUH")</f>
        <v>FRANCISCO TONATIUH</v>
      </c>
      <c r="E25" s="54">
        <f>IFERROR(__xludf.DUMMYFUNCTION("""COMPUTED_VALUE"""),8.0)</f>
        <v>8</v>
      </c>
      <c r="F25" s="54">
        <f>IFERROR(__xludf.DUMMYFUNCTION("""COMPUTED_VALUE"""),2.0)</f>
        <v>2</v>
      </c>
      <c r="G25" s="55">
        <f>IFERROR(__xludf.DUMMYFUNCTION("""COMPUTED_VALUE"""),0.0)</f>
        <v>0</v>
      </c>
      <c r="H25" s="56">
        <f>IFERROR(__xludf.DUMMYFUNCTION("""COMPUTED_VALUE"""),10.0)</f>
        <v>10</v>
      </c>
      <c r="I25" s="57">
        <f>IFERROR(__xludf.DUMMYFUNCTION("""COMPUTED_VALUE"""),0.0)</f>
        <v>0</v>
      </c>
      <c r="J25" s="58">
        <f>IFERROR(__xludf.DUMMYFUNCTION("""COMPUTED_VALUE"""),10.0)</f>
        <v>10</v>
      </c>
      <c r="K25" s="51"/>
      <c r="L25" s="60">
        <f>IFERROR(__xludf.DUMMYFUNCTION("""COMPUTED_VALUE"""),10.0)</f>
        <v>10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75" customHeight="1">
      <c r="A26" s="51">
        <f>IFERROR(__xludf.DUMMYFUNCTION("""COMPUTED_VALUE"""),10.0)</f>
        <v>10</v>
      </c>
      <c r="B26" s="52" t="str">
        <f>IFERROR(__xludf.DUMMYFUNCTION("""COMPUTED_VALUE"""),"CABRERA")</f>
        <v>CABRERA</v>
      </c>
      <c r="C26" s="52" t="str">
        <f>IFERROR(__xludf.DUMMYFUNCTION("""COMPUTED_VALUE"""),"MARTINEZ")</f>
        <v>MARTINEZ</v>
      </c>
      <c r="D26" s="53" t="str">
        <f>IFERROR(__xludf.DUMMYFUNCTION("""COMPUTED_VALUE"""),"JESUS ADRIAN")</f>
        <v>JESUS ADRIAN</v>
      </c>
      <c r="E26" s="55">
        <f>IFERROR(__xludf.DUMMYFUNCTION("""COMPUTED_VALUE"""),8.0)</f>
        <v>8</v>
      </c>
      <c r="F26" s="54">
        <f>IFERROR(__xludf.DUMMYFUNCTION("""COMPUTED_VALUE"""),2.0)</f>
        <v>2</v>
      </c>
      <c r="G26" s="55">
        <f>IFERROR(__xludf.DUMMYFUNCTION("""COMPUTED_VALUE"""),0.0)</f>
        <v>0</v>
      </c>
      <c r="H26" s="56">
        <f>IFERROR(__xludf.DUMMYFUNCTION("""COMPUTED_VALUE"""),10.0)</f>
        <v>10</v>
      </c>
      <c r="I26" s="57">
        <f>IFERROR(__xludf.DUMMYFUNCTION("""COMPUTED_VALUE"""),0.0)</f>
        <v>0</v>
      </c>
      <c r="J26" s="58">
        <f>IFERROR(__xludf.DUMMYFUNCTION("""COMPUTED_VALUE"""),10.0)</f>
        <v>10</v>
      </c>
      <c r="K26" s="51"/>
      <c r="L26" s="60">
        <f>IFERROR(__xludf.DUMMYFUNCTION("""COMPUTED_VALUE"""),10.0)</f>
        <v>10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75" customHeight="1">
      <c r="A27" s="51">
        <f>IFERROR(__xludf.DUMMYFUNCTION("""COMPUTED_VALUE"""),11.0)</f>
        <v>11</v>
      </c>
      <c r="B27" s="52" t="str">
        <f>IFERROR(__xludf.DUMMYFUNCTION("""COMPUTED_VALUE"""),"CARDONA")</f>
        <v>CARDONA</v>
      </c>
      <c r="C27" s="52" t="str">
        <f>IFERROR(__xludf.DUMMYFUNCTION("""COMPUTED_VALUE"""),"ZARATE")</f>
        <v>ZARATE</v>
      </c>
      <c r="D27" s="52" t="str">
        <f>IFERROR(__xludf.DUMMYFUNCTION("""COMPUTED_VALUE"""),"JULIA EMILY")</f>
        <v>JULIA EMILY</v>
      </c>
      <c r="E27" s="54">
        <f>IFERROR(__xludf.DUMMYFUNCTION("""COMPUTED_VALUE"""),8.0)</f>
        <v>8</v>
      </c>
      <c r="F27" s="54">
        <f>IFERROR(__xludf.DUMMYFUNCTION("""COMPUTED_VALUE"""),2.0)</f>
        <v>2</v>
      </c>
      <c r="G27" s="55">
        <f>IFERROR(__xludf.DUMMYFUNCTION("""COMPUTED_VALUE"""),0.0)</f>
        <v>0</v>
      </c>
      <c r="H27" s="56">
        <f>IFERROR(__xludf.DUMMYFUNCTION("""COMPUTED_VALUE"""),10.0)</f>
        <v>10</v>
      </c>
      <c r="I27" s="57">
        <f>IFERROR(__xludf.DUMMYFUNCTION("""COMPUTED_VALUE"""),0.0)</f>
        <v>0</v>
      </c>
      <c r="J27" s="58">
        <f>IFERROR(__xludf.DUMMYFUNCTION("""COMPUTED_VALUE"""),10.0)</f>
        <v>10</v>
      </c>
      <c r="K27" s="51"/>
      <c r="L27" s="60">
        <f>IFERROR(__xludf.DUMMYFUNCTION("""COMPUTED_VALUE"""),10.0)</f>
        <v>10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75" customHeight="1">
      <c r="A28" s="51">
        <f>IFERROR(__xludf.DUMMYFUNCTION("""COMPUTED_VALUE"""),12.0)</f>
        <v>12</v>
      </c>
      <c r="B28" s="52" t="str">
        <f>IFERROR(__xludf.DUMMYFUNCTION("""COMPUTED_VALUE"""),"CASALES")</f>
        <v>CASALES</v>
      </c>
      <c r="C28" s="52" t="str">
        <f>IFERROR(__xludf.DUMMYFUNCTION("""COMPUTED_VALUE"""),"LORANCA")</f>
        <v>LORANCA</v>
      </c>
      <c r="D28" s="53" t="str">
        <f>IFERROR(__xludf.DUMMYFUNCTION("""COMPUTED_VALUE"""),"EDSON")</f>
        <v>EDSON</v>
      </c>
      <c r="E28" s="54">
        <f>IFERROR(__xludf.DUMMYFUNCTION("""COMPUTED_VALUE"""),6.5)</f>
        <v>6.5</v>
      </c>
      <c r="F28" s="54">
        <f>IFERROR(__xludf.DUMMYFUNCTION("""COMPUTED_VALUE"""),0.0)</f>
        <v>0</v>
      </c>
      <c r="G28" s="55">
        <f>IFERROR(__xludf.DUMMYFUNCTION("""COMPUTED_VALUE"""),0.0)</f>
        <v>0</v>
      </c>
      <c r="H28" s="56">
        <f>IFERROR(__xludf.DUMMYFUNCTION("""COMPUTED_VALUE"""),6.5)</f>
        <v>6.5</v>
      </c>
      <c r="I28" s="57">
        <f>IFERROR(__xludf.DUMMYFUNCTION("""COMPUTED_VALUE"""),0.0)</f>
        <v>0</v>
      </c>
      <c r="J28" s="58">
        <f>IFERROR(__xludf.DUMMYFUNCTION("""COMPUTED_VALUE"""),7.0)</f>
        <v>7</v>
      </c>
      <c r="K28" s="51"/>
      <c r="L28" s="60">
        <f>IFERROR(__xludf.DUMMYFUNCTION("""COMPUTED_VALUE"""),7.0)</f>
        <v>7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75" customHeight="1">
      <c r="A29" s="51">
        <f>IFERROR(__xludf.DUMMYFUNCTION("""COMPUTED_VALUE"""),13.0)</f>
        <v>13</v>
      </c>
      <c r="B29" s="52" t="str">
        <f>IFERROR(__xludf.DUMMYFUNCTION("""COMPUTED_VALUE"""),"CRUZ")</f>
        <v>CRUZ</v>
      </c>
      <c r="C29" s="52" t="str">
        <f>IFERROR(__xludf.DUMMYFUNCTION("""COMPUTED_VALUE"""),"GARCÍA")</f>
        <v>GARCÍA</v>
      </c>
      <c r="D29" s="53" t="str">
        <f>IFERROR(__xludf.DUMMYFUNCTION("""COMPUTED_VALUE"""),"PEDRO YASHIR")</f>
        <v>PEDRO YASHIR</v>
      </c>
      <c r="E29" s="54">
        <f>IFERROR(__xludf.DUMMYFUNCTION("""COMPUTED_VALUE"""),8.0)</f>
        <v>8</v>
      </c>
      <c r="F29" s="54">
        <f>IFERROR(__xludf.DUMMYFUNCTION("""COMPUTED_VALUE"""),2.0)</f>
        <v>2</v>
      </c>
      <c r="G29" s="55">
        <f>IFERROR(__xludf.DUMMYFUNCTION("""COMPUTED_VALUE"""),0.0)</f>
        <v>0</v>
      </c>
      <c r="H29" s="56">
        <f>IFERROR(__xludf.DUMMYFUNCTION("""COMPUTED_VALUE"""),10.0)</f>
        <v>10</v>
      </c>
      <c r="I29" s="57">
        <f>IFERROR(__xludf.DUMMYFUNCTION("""COMPUTED_VALUE"""),0.0)</f>
        <v>0</v>
      </c>
      <c r="J29" s="58">
        <f>IFERROR(__xludf.DUMMYFUNCTION("""COMPUTED_VALUE"""),10.0)</f>
        <v>10</v>
      </c>
      <c r="K29" s="51"/>
      <c r="L29" s="60">
        <f>IFERROR(__xludf.DUMMYFUNCTION("""COMPUTED_VALUE"""),10.0)</f>
        <v>10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75" customHeight="1">
      <c r="A30" s="51">
        <f>IFERROR(__xludf.DUMMYFUNCTION("""COMPUTED_VALUE"""),14.0)</f>
        <v>14</v>
      </c>
      <c r="B30" s="52" t="str">
        <f>IFERROR(__xludf.DUMMYFUNCTION("""COMPUTED_VALUE"""),"FUENTES")</f>
        <v>FUENTES</v>
      </c>
      <c r="C30" s="52" t="str">
        <f>IFERROR(__xludf.DUMMYFUNCTION("""COMPUTED_VALUE"""),"VALADEZ")</f>
        <v>VALADEZ</v>
      </c>
      <c r="D30" s="53" t="str">
        <f>IFERROR(__xludf.DUMMYFUNCTION("""COMPUTED_VALUE"""),"ALEXIA DANNAE")</f>
        <v>ALEXIA DANNAE</v>
      </c>
      <c r="E30" s="55">
        <f>IFERROR(__xludf.DUMMYFUNCTION("""COMPUTED_VALUE"""),6.5)</f>
        <v>6.5</v>
      </c>
      <c r="F30" s="54">
        <f>IFERROR(__xludf.DUMMYFUNCTION("""COMPUTED_VALUE"""),2.0)</f>
        <v>2</v>
      </c>
      <c r="G30" s="55">
        <f>IFERROR(__xludf.DUMMYFUNCTION("""COMPUTED_VALUE"""),0.0)</f>
        <v>0</v>
      </c>
      <c r="H30" s="56">
        <f>IFERROR(__xludf.DUMMYFUNCTION("""COMPUTED_VALUE"""),8.5)</f>
        <v>8.5</v>
      </c>
      <c r="I30" s="57">
        <f>IFERROR(__xludf.DUMMYFUNCTION("""COMPUTED_VALUE"""),0.0)</f>
        <v>0</v>
      </c>
      <c r="J30" s="58">
        <f>IFERROR(__xludf.DUMMYFUNCTION("""COMPUTED_VALUE"""),9.0)</f>
        <v>9</v>
      </c>
      <c r="K30" s="51"/>
      <c r="L30" s="60">
        <f>IFERROR(__xludf.DUMMYFUNCTION("""COMPUTED_VALUE"""),9.0)</f>
        <v>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75" customHeight="1">
      <c r="A31" s="51">
        <f>IFERROR(__xludf.DUMMYFUNCTION("""COMPUTED_VALUE"""),15.0)</f>
        <v>15</v>
      </c>
      <c r="B31" s="52" t="str">
        <f>IFERROR(__xludf.DUMMYFUNCTION("""COMPUTED_VALUE"""),"GARCIA")</f>
        <v>GARCIA</v>
      </c>
      <c r="C31" s="52" t="str">
        <f>IFERROR(__xludf.DUMMYFUNCTION("""COMPUTED_VALUE"""),"RANGEL")</f>
        <v>RANGEL</v>
      </c>
      <c r="D31" s="53" t="str">
        <f>IFERROR(__xludf.DUMMYFUNCTION("""COMPUTED_VALUE"""),"ADRIAN")</f>
        <v>ADRIAN</v>
      </c>
      <c r="E31" s="55">
        <f>IFERROR(__xludf.DUMMYFUNCTION("""COMPUTED_VALUE"""),0.0)</f>
        <v>0</v>
      </c>
      <c r="F31" s="54">
        <f>IFERROR(__xludf.DUMMYFUNCTION("""COMPUTED_VALUE"""),0.0)</f>
        <v>0</v>
      </c>
      <c r="G31" s="55">
        <f>IFERROR(__xludf.DUMMYFUNCTION("""COMPUTED_VALUE"""),0.0)</f>
        <v>0</v>
      </c>
      <c r="H31" s="56">
        <f>IFERROR(__xludf.DUMMYFUNCTION("""COMPUTED_VALUE"""),0.0)</f>
        <v>0</v>
      </c>
      <c r="I31" s="57">
        <f>IFERROR(__xludf.DUMMYFUNCTION("""COMPUTED_VALUE"""),1.0)</f>
        <v>1</v>
      </c>
      <c r="J31" s="58">
        <f>IFERROR(__xludf.DUMMYFUNCTION("""COMPUTED_VALUE"""),5.0)</f>
        <v>5</v>
      </c>
      <c r="K31" s="51"/>
      <c r="L31" s="60">
        <f>IFERROR(__xludf.DUMMYFUNCTION("""COMPUTED_VALUE"""),0.0)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75" customHeight="1">
      <c r="A32" s="51">
        <f>IFERROR(__xludf.DUMMYFUNCTION("""COMPUTED_VALUE"""),16.0)</f>
        <v>16</v>
      </c>
      <c r="B32" s="52" t="str">
        <f>IFERROR(__xludf.DUMMYFUNCTION("""COMPUTED_VALUE"""),"GOMEZ")</f>
        <v>GOMEZ</v>
      </c>
      <c r="C32" s="52" t="str">
        <f>IFERROR(__xludf.DUMMYFUNCTION("""COMPUTED_VALUE"""),"ARREDONDO")</f>
        <v>ARREDONDO</v>
      </c>
      <c r="D32" s="53" t="str">
        <f>IFERROR(__xludf.DUMMYFUNCTION("""COMPUTED_VALUE"""),"AMERICA NAOMI")</f>
        <v>AMERICA NAOMI</v>
      </c>
      <c r="E32" s="54">
        <f>IFERROR(__xludf.DUMMYFUNCTION("""COMPUTED_VALUE"""),8.0)</f>
        <v>8</v>
      </c>
      <c r="F32" s="54">
        <f>IFERROR(__xludf.DUMMYFUNCTION("""COMPUTED_VALUE"""),2.0)</f>
        <v>2</v>
      </c>
      <c r="G32" s="55">
        <f>IFERROR(__xludf.DUMMYFUNCTION("""COMPUTED_VALUE"""),0.0)</f>
        <v>0</v>
      </c>
      <c r="H32" s="56">
        <f>IFERROR(__xludf.DUMMYFUNCTION("""COMPUTED_VALUE"""),10.0)</f>
        <v>10</v>
      </c>
      <c r="I32" s="57">
        <f>IFERROR(__xludf.DUMMYFUNCTION("""COMPUTED_VALUE"""),0.0)</f>
        <v>0</v>
      </c>
      <c r="J32" s="58">
        <f>IFERROR(__xludf.DUMMYFUNCTION("""COMPUTED_VALUE"""),10.0)</f>
        <v>10</v>
      </c>
      <c r="K32" s="51"/>
      <c r="L32" s="60">
        <f>IFERROR(__xludf.DUMMYFUNCTION("""COMPUTED_VALUE"""),10.0)</f>
        <v>10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75" customHeight="1">
      <c r="A33" s="51">
        <f>IFERROR(__xludf.DUMMYFUNCTION("""COMPUTED_VALUE"""),17.0)</f>
        <v>17</v>
      </c>
      <c r="B33" s="52" t="str">
        <f>IFERROR(__xludf.DUMMYFUNCTION("""COMPUTED_VALUE"""),"GOMEZ")</f>
        <v>GOMEZ</v>
      </c>
      <c r="C33" s="52" t="str">
        <f>IFERROR(__xludf.DUMMYFUNCTION("""COMPUTED_VALUE"""),"VAZQUEZ")</f>
        <v>VAZQUEZ</v>
      </c>
      <c r="D33" s="53" t="str">
        <f>IFERROR(__xludf.DUMMYFUNCTION("""COMPUTED_VALUE"""),"BIBIANA")</f>
        <v>BIBIANA</v>
      </c>
      <c r="E33" s="54">
        <f>IFERROR(__xludf.DUMMYFUNCTION("""COMPUTED_VALUE"""),8.0)</f>
        <v>8</v>
      </c>
      <c r="F33" s="54">
        <f>IFERROR(__xludf.DUMMYFUNCTION("""COMPUTED_VALUE"""),2.0)</f>
        <v>2</v>
      </c>
      <c r="G33" s="55">
        <f>IFERROR(__xludf.DUMMYFUNCTION("""COMPUTED_VALUE"""),0.0)</f>
        <v>0</v>
      </c>
      <c r="H33" s="56">
        <f>IFERROR(__xludf.DUMMYFUNCTION("""COMPUTED_VALUE"""),10.0)</f>
        <v>10</v>
      </c>
      <c r="I33" s="57">
        <f>IFERROR(__xludf.DUMMYFUNCTION("""COMPUTED_VALUE"""),0.0)</f>
        <v>0</v>
      </c>
      <c r="J33" s="58">
        <f>IFERROR(__xludf.DUMMYFUNCTION("""COMPUTED_VALUE"""),10.0)</f>
        <v>10</v>
      </c>
      <c r="K33" s="51"/>
      <c r="L33" s="60">
        <f>IFERROR(__xludf.DUMMYFUNCTION("""COMPUTED_VALUE"""),10.0)</f>
        <v>10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75" customHeight="1">
      <c r="A34" s="51">
        <f>IFERROR(__xludf.DUMMYFUNCTION("""COMPUTED_VALUE"""),18.0)</f>
        <v>18</v>
      </c>
      <c r="B34" s="52" t="str">
        <f>IFERROR(__xludf.DUMMYFUNCTION("""COMPUTED_VALUE"""),"GONZALEZ")</f>
        <v>GONZALEZ</v>
      </c>
      <c r="C34" s="52" t="str">
        <f>IFERROR(__xludf.DUMMYFUNCTION("""COMPUTED_VALUE"""),"REYNA")</f>
        <v>REYNA</v>
      </c>
      <c r="D34" s="53" t="str">
        <f>IFERROR(__xludf.DUMMYFUNCTION("""COMPUTED_VALUE"""),"PAULA EDITH")</f>
        <v>PAULA EDITH</v>
      </c>
      <c r="E34" s="55">
        <f>IFERROR(__xludf.DUMMYFUNCTION("""COMPUTED_VALUE"""),8.0)</f>
        <v>8</v>
      </c>
      <c r="F34" s="54">
        <f>IFERROR(__xludf.DUMMYFUNCTION("""COMPUTED_VALUE"""),0.0)</f>
        <v>0</v>
      </c>
      <c r="G34" s="55">
        <f>IFERROR(__xludf.DUMMYFUNCTION("""COMPUTED_VALUE"""),0.0)</f>
        <v>0</v>
      </c>
      <c r="H34" s="56">
        <f>IFERROR(__xludf.DUMMYFUNCTION("""COMPUTED_VALUE"""),8.0)</f>
        <v>8</v>
      </c>
      <c r="I34" s="57">
        <f>IFERROR(__xludf.DUMMYFUNCTION("""COMPUTED_VALUE"""),0.0)</f>
        <v>0</v>
      </c>
      <c r="J34" s="58">
        <f>IFERROR(__xludf.DUMMYFUNCTION("""COMPUTED_VALUE"""),8.0)</f>
        <v>8</v>
      </c>
      <c r="K34" s="51"/>
      <c r="L34" s="60">
        <f>IFERROR(__xludf.DUMMYFUNCTION("""COMPUTED_VALUE"""),8.0)</f>
        <v>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75" customHeight="1">
      <c r="A35" s="51">
        <f>IFERROR(__xludf.DUMMYFUNCTION("""COMPUTED_VALUE"""),19.0)</f>
        <v>19</v>
      </c>
      <c r="B35" s="52" t="str">
        <f>IFERROR(__xludf.DUMMYFUNCTION("""COMPUTED_VALUE"""),"HERNANDEZ")</f>
        <v>HERNANDEZ</v>
      </c>
      <c r="C35" s="52" t="str">
        <f>IFERROR(__xludf.DUMMYFUNCTION("""COMPUTED_VALUE"""),"CHAVEZ")</f>
        <v>CHAVEZ</v>
      </c>
      <c r="D35" s="53" t="str">
        <f>IFERROR(__xludf.DUMMYFUNCTION("""COMPUTED_VALUE"""),"DEREK")</f>
        <v>DEREK</v>
      </c>
      <c r="E35" s="54">
        <f>IFERROR(__xludf.DUMMYFUNCTION("""COMPUTED_VALUE"""),6.5)</f>
        <v>6.5</v>
      </c>
      <c r="F35" s="54">
        <f>IFERROR(__xludf.DUMMYFUNCTION("""COMPUTED_VALUE"""),2.0)</f>
        <v>2</v>
      </c>
      <c r="G35" s="55">
        <f>IFERROR(__xludf.DUMMYFUNCTION("""COMPUTED_VALUE"""),0.0)</f>
        <v>0</v>
      </c>
      <c r="H35" s="56">
        <f>IFERROR(__xludf.DUMMYFUNCTION("""COMPUTED_VALUE"""),8.5)</f>
        <v>8.5</v>
      </c>
      <c r="I35" s="57">
        <f>IFERROR(__xludf.DUMMYFUNCTION("""COMPUTED_VALUE"""),0.0)</f>
        <v>0</v>
      </c>
      <c r="J35" s="58">
        <f>IFERROR(__xludf.DUMMYFUNCTION("""COMPUTED_VALUE"""),9.0)</f>
        <v>9</v>
      </c>
      <c r="K35" s="51"/>
      <c r="L35" s="60">
        <f>IFERROR(__xludf.DUMMYFUNCTION("""COMPUTED_VALUE"""),9.0)</f>
        <v>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75" customHeight="1">
      <c r="A36" s="51">
        <f>IFERROR(__xludf.DUMMYFUNCTION("""COMPUTED_VALUE"""),20.0)</f>
        <v>20</v>
      </c>
      <c r="B36" s="52" t="str">
        <f>IFERROR(__xludf.DUMMYFUNCTION("""COMPUTED_VALUE"""),"HERNANDEZ")</f>
        <v>HERNANDEZ</v>
      </c>
      <c r="C36" s="52" t="str">
        <f>IFERROR(__xludf.DUMMYFUNCTION("""COMPUTED_VALUE"""),"LEDEZMA")</f>
        <v>LEDEZMA</v>
      </c>
      <c r="D36" s="53" t="str">
        <f>IFERROR(__xludf.DUMMYFUNCTION("""COMPUTED_VALUE"""),"IRIARY GUADALUPE")</f>
        <v>IRIARY GUADALUPE</v>
      </c>
      <c r="E36" s="54">
        <f>IFERROR(__xludf.DUMMYFUNCTION("""COMPUTED_VALUE"""),5.8)</f>
        <v>5.8</v>
      </c>
      <c r="F36" s="54">
        <f>IFERROR(__xludf.DUMMYFUNCTION("""COMPUTED_VALUE"""),2.0)</f>
        <v>2</v>
      </c>
      <c r="G36" s="55">
        <f>IFERROR(__xludf.DUMMYFUNCTION("""COMPUTED_VALUE"""),0.0)</f>
        <v>0</v>
      </c>
      <c r="H36" s="56">
        <f>IFERROR(__xludf.DUMMYFUNCTION("""COMPUTED_VALUE"""),7.8)</f>
        <v>7.8</v>
      </c>
      <c r="I36" s="57">
        <f>IFERROR(__xludf.DUMMYFUNCTION("""COMPUTED_VALUE"""),0.0)</f>
        <v>0</v>
      </c>
      <c r="J36" s="58">
        <f>IFERROR(__xludf.DUMMYFUNCTION("""COMPUTED_VALUE"""),8.0)</f>
        <v>8</v>
      </c>
      <c r="K36" s="51"/>
      <c r="L36" s="60">
        <f>IFERROR(__xludf.DUMMYFUNCTION("""COMPUTED_VALUE"""),8.0)</f>
        <v>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75" customHeight="1">
      <c r="A37" s="51">
        <f>IFERROR(__xludf.DUMMYFUNCTION("""COMPUTED_VALUE"""),21.0)</f>
        <v>21</v>
      </c>
      <c r="B37" s="52" t="str">
        <f>IFERROR(__xludf.DUMMYFUNCTION("""COMPUTED_VALUE"""),"JARALEÑO")</f>
        <v>JARALEÑO</v>
      </c>
      <c r="C37" s="52" t="str">
        <f>IFERROR(__xludf.DUMMYFUNCTION("""COMPUTED_VALUE"""),"BLANCO")</f>
        <v>BLANCO</v>
      </c>
      <c r="D37" s="53" t="str">
        <f>IFERROR(__xludf.DUMMYFUNCTION("""COMPUTED_VALUE"""),"IRVING GAEL")</f>
        <v>IRVING GAEL</v>
      </c>
      <c r="E37" s="55">
        <f>IFERROR(__xludf.DUMMYFUNCTION("""COMPUTED_VALUE"""),6.5)</f>
        <v>6.5</v>
      </c>
      <c r="F37" s="54">
        <f>IFERROR(__xludf.DUMMYFUNCTION("""COMPUTED_VALUE"""),2.0)</f>
        <v>2</v>
      </c>
      <c r="G37" s="55">
        <f>IFERROR(__xludf.DUMMYFUNCTION("""COMPUTED_VALUE"""),0.0)</f>
        <v>0</v>
      </c>
      <c r="H37" s="56">
        <f>IFERROR(__xludf.DUMMYFUNCTION("""COMPUTED_VALUE"""),8.5)</f>
        <v>8.5</v>
      </c>
      <c r="I37" s="57">
        <f>IFERROR(__xludf.DUMMYFUNCTION("""COMPUTED_VALUE"""),0.0)</f>
        <v>0</v>
      </c>
      <c r="J37" s="58">
        <f>IFERROR(__xludf.DUMMYFUNCTION("""COMPUTED_VALUE"""),9.0)</f>
        <v>9</v>
      </c>
      <c r="K37" s="51"/>
      <c r="L37" s="60">
        <f>IFERROR(__xludf.DUMMYFUNCTION("""COMPUTED_VALUE"""),9.0)</f>
        <v>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75" customHeight="1">
      <c r="A38" s="51">
        <f>IFERROR(__xludf.DUMMYFUNCTION("""COMPUTED_VALUE"""),22.0)</f>
        <v>22</v>
      </c>
      <c r="B38" s="52" t="str">
        <f>IFERROR(__xludf.DUMMYFUNCTION("""COMPUTED_VALUE"""),"LIMA")</f>
        <v>LIMA</v>
      </c>
      <c r="C38" s="52" t="str">
        <f>IFERROR(__xludf.DUMMYFUNCTION("""COMPUTED_VALUE"""),"ACEVES")</f>
        <v>ACEVES</v>
      </c>
      <c r="D38" s="53" t="str">
        <f>IFERROR(__xludf.DUMMYFUNCTION("""COMPUTED_VALUE"""),"DAFNE ERIN")</f>
        <v>DAFNE ERIN</v>
      </c>
      <c r="E38" s="54">
        <f>IFERROR(__xludf.DUMMYFUNCTION("""COMPUTED_VALUE"""),7.8)</f>
        <v>7.8</v>
      </c>
      <c r="F38" s="54">
        <f>IFERROR(__xludf.DUMMYFUNCTION("""COMPUTED_VALUE"""),2.0)</f>
        <v>2</v>
      </c>
      <c r="G38" s="55">
        <f>IFERROR(__xludf.DUMMYFUNCTION("""COMPUTED_VALUE"""),0.0)</f>
        <v>0</v>
      </c>
      <c r="H38" s="56">
        <f>IFERROR(__xludf.DUMMYFUNCTION("""COMPUTED_VALUE"""),9.8)</f>
        <v>9.8</v>
      </c>
      <c r="I38" s="57">
        <f>IFERROR(__xludf.DUMMYFUNCTION("""COMPUTED_VALUE"""),0.0)</f>
        <v>0</v>
      </c>
      <c r="J38" s="58">
        <f>IFERROR(__xludf.DUMMYFUNCTION("""COMPUTED_VALUE"""),10.0)</f>
        <v>10</v>
      </c>
      <c r="K38" s="51"/>
      <c r="L38" s="60">
        <f>IFERROR(__xludf.DUMMYFUNCTION("""COMPUTED_VALUE"""),10.0)</f>
        <v>10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75" customHeight="1">
      <c r="A39" s="51">
        <f>IFERROR(__xludf.DUMMYFUNCTION("""COMPUTED_VALUE"""),23.0)</f>
        <v>23</v>
      </c>
      <c r="B39" s="52" t="str">
        <f>IFERROR(__xludf.DUMMYFUNCTION("""COMPUTED_VALUE"""),"LOPEZ")</f>
        <v>LOPEZ</v>
      </c>
      <c r="C39" s="52" t="str">
        <f>IFERROR(__xludf.DUMMYFUNCTION("""COMPUTED_VALUE"""),"GODINEZ")</f>
        <v>GODINEZ</v>
      </c>
      <c r="D39" s="53" t="str">
        <f>IFERROR(__xludf.DUMMYFUNCTION("""COMPUTED_VALUE"""),"AZUL XIMENA")</f>
        <v>AZUL XIMENA</v>
      </c>
      <c r="E39" s="54">
        <f>IFERROR(__xludf.DUMMYFUNCTION("""COMPUTED_VALUE"""),8.0)</f>
        <v>8</v>
      </c>
      <c r="F39" s="54">
        <f>IFERROR(__xludf.DUMMYFUNCTION("""COMPUTED_VALUE"""),0.0)</f>
        <v>0</v>
      </c>
      <c r="G39" s="55">
        <f>IFERROR(__xludf.DUMMYFUNCTION("""COMPUTED_VALUE"""),0.0)</f>
        <v>0</v>
      </c>
      <c r="H39" s="56">
        <f>IFERROR(__xludf.DUMMYFUNCTION("""COMPUTED_VALUE"""),8.0)</f>
        <v>8</v>
      </c>
      <c r="I39" s="57">
        <f>IFERROR(__xludf.DUMMYFUNCTION("""COMPUTED_VALUE"""),0.0)</f>
        <v>0</v>
      </c>
      <c r="J39" s="58">
        <f>IFERROR(__xludf.DUMMYFUNCTION("""COMPUTED_VALUE"""),8.0)</f>
        <v>8</v>
      </c>
      <c r="K39" s="51"/>
      <c r="L39" s="60">
        <f>IFERROR(__xludf.DUMMYFUNCTION("""COMPUTED_VALUE"""),8.0)</f>
        <v>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75" customHeight="1">
      <c r="A40" s="51">
        <f>IFERROR(__xludf.DUMMYFUNCTION("""COMPUTED_VALUE"""),24.0)</f>
        <v>24</v>
      </c>
      <c r="B40" s="52" t="str">
        <f>IFERROR(__xludf.DUMMYFUNCTION("""COMPUTED_VALUE"""),"LUGO")</f>
        <v>LUGO</v>
      </c>
      <c r="C40" s="52" t="str">
        <f>IFERROR(__xludf.DUMMYFUNCTION("""COMPUTED_VALUE"""),"GONZALEZ")</f>
        <v>GONZALEZ</v>
      </c>
      <c r="D40" s="53" t="str">
        <f>IFERROR(__xludf.DUMMYFUNCTION("""COMPUTED_VALUE"""),"LUIS DARIO")</f>
        <v>LUIS DARIO</v>
      </c>
      <c r="E40" s="54">
        <f>IFERROR(__xludf.DUMMYFUNCTION("""COMPUTED_VALUE"""),6.5)</f>
        <v>6.5</v>
      </c>
      <c r="F40" s="54">
        <f>IFERROR(__xludf.DUMMYFUNCTION("""COMPUTED_VALUE"""),2.0)</f>
        <v>2</v>
      </c>
      <c r="G40" s="55">
        <f>IFERROR(__xludf.DUMMYFUNCTION("""COMPUTED_VALUE"""),0.0)</f>
        <v>0</v>
      </c>
      <c r="H40" s="56">
        <f>IFERROR(__xludf.DUMMYFUNCTION("""COMPUTED_VALUE"""),8.5)</f>
        <v>8.5</v>
      </c>
      <c r="I40" s="57">
        <f>IFERROR(__xludf.DUMMYFUNCTION("""COMPUTED_VALUE"""),0.0)</f>
        <v>0</v>
      </c>
      <c r="J40" s="58">
        <f>IFERROR(__xludf.DUMMYFUNCTION("""COMPUTED_VALUE"""),9.0)</f>
        <v>9</v>
      </c>
      <c r="K40" s="51"/>
      <c r="L40" s="60">
        <f>IFERROR(__xludf.DUMMYFUNCTION("""COMPUTED_VALUE"""),9.0)</f>
        <v>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75" customHeight="1">
      <c r="A41" s="51">
        <f>IFERROR(__xludf.DUMMYFUNCTION("""COMPUTED_VALUE"""),25.0)</f>
        <v>25</v>
      </c>
      <c r="B41" s="52" t="str">
        <f>IFERROR(__xludf.DUMMYFUNCTION("""COMPUTED_VALUE"""),"MARQUEZ")</f>
        <v>MARQUEZ</v>
      </c>
      <c r="C41" s="52" t="str">
        <f>IFERROR(__xludf.DUMMYFUNCTION("""COMPUTED_VALUE"""),"YAÑEZ")</f>
        <v>YAÑEZ</v>
      </c>
      <c r="D41" s="53" t="str">
        <f>IFERROR(__xludf.DUMMYFUNCTION("""COMPUTED_VALUE"""),"ISRAEL")</f>
        <v>ISRAEL</v>
      </c>
      <c r="E41" s="54">
        <f>IFERROR(__xludf.DUMMYFUNCTION("""COMPUTED_VALUE"""),4.2)</f>
        <v>4.2</v>
      </c>
      <c r="F41" s="54">
        <f>IFERROR(__xludf.DUMMYFUNCTION("""COMPUTED_VALUE"""),0.0)</f>
        <v>0</v>
      </c>
      <c r="G41" s="55">
        <f>IFERROR(__xludf.DUMMYFUNCTION("""COMPUTED_VALUE"""),0.0)</f>
        <v>0</v>
      </c>
      <c r="H41" s="56">
        <f>IFERROR(__xludf.DUMMYFUNCTION("""COMPUTED_VALUE"""),4.2)</f>
        <v>4.2</v>
      </c>
      <c r="I41" s="57">
        <f>IFERROR(__xludf.DUMMYFUNCTION("""COMPUTED_VALUE"""),0.0)</f>
        <v>0</v>
      </c>
      <c r="J41" s="58">
        <f>IFERROR(__xludf.DUMMYFUNCTION("""COMPUTED_VALUE"""),5.0)</f>
        <v>5</v>
      </c>
      <c r="K41" s="51"/>
      <c r="L41" s="60">
        <f>IFERROR(__xludf.DUMMYFUNCTION("""COMPUTED_VALUE"""),4.0)</f>
        <v>4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75" customHeight="1">
      <c r="A42" s="51">
        <f>IFERROR(__xludf.DUMMYFUNCTION("""COMPUTED_VALUE"""),26.0)</f>
        <v>26</v>
      </c>
      <c r="B42" s="52" t="str">
        <f>IFERROR(__xludf.DUMMYFUNCTION("""COMPUTED_VALUE"""),"MARTINEZ")</f>
        <v>MARTINEZ</v>
      </c>
      <c r="C42" s="52" t="str">
        <f>IFERROR(__xludf.DUMMYFUNCTION("""COMPUTED_VALUE"""),"MONTERO")</f>
        <v>MONTERO</v>
      </c>
      <c r="D42" s="53" t="str">
        <f>IFERROR(__xludf.DUMMYFUNCTION("""COMPUTED_VALUE"""),"ANGEL YAIR")</f>
        <v>ANGEL YAIR</v>
      </c>
      <c r="E42" s="54">
        <f>IFERROR(__xludf.DUMMYFUNCTION("""COMPUTED_VALUE"""),6.5)</f>
        <v>6.5</v>
      </c>
      <c r="F42" s="54">
        <f>IFERROR(__xludf.DUMMYFUNCTION("""COMPUTED_VALUE"""),2.0)</f>
        <v>2</v>
      </c>
      <c r="G42" s="55">
        <f>IFERROR(__xludf.DUMMYFUNCTION("""COMPUTED_VALUE"""),0.0)</f>
        <v>0</v>
      </c>
      <c r="H42" s="56">
        <f>IFERROR(__xludf.DUMMYFUNCTION("""COMPUTED_VALUE"""),8.5)</f>
        <v>8.5</v>
      </c>
      <c r="I42" s="57">
        <f>IFERROR(__xludf.DUMMYFUNCTION("""COMPUTED_VALUE"""),0.0)</f>
        <v>0</v>
      </c>
      <c r="J42" s="58">
        <f>IFERROR(__xludf.DUMMYFUNCTION("""COMPUTED_VALUE"""),9.0)</f>
        <v>9</v>
      </c>
      <c r="K42" s="51"/>
      <c r="L42" s="60">
        <f>IFERROR(__xludf.DUMMYFUNCTION("""COMPUTED_VALUE"""),9.0)</f>
        <v>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75" customHeight="1">
      <c r="A43" s="51">
        <f>IFERROR(__xludf.DUMMYFUNCTION("""COMPUTED_VALUE"""),27.0)</f>
        <v>27</v>
      </c>
      <c r="B43" s="52" t="str">
        <f>IFERROR(__xludf.DUMMYFUNCTION("""COMPUTED_VALUE"""),"MENDOZA")</f>
        <v>MENDOZA</v>
      </c>
      <c r="C43" s="52" t="str">
        <f>IFERROR(__xludf.DUMMYFUNCTION("""COMPUTED_VALUE"""),"CRUZ")</f>
        <v>CRUZ</v>
      </c>
      <c r="D43" s="53" t="str">
        <f>IFERROR(__xludf.DUMMYFUNCTION("""COMPUTED_VALUE"""),"IAN YAMIL")</f>
        <v>IAN YAMIL</v>
      </c>
      <c r="E43" s="54">
        <f>IFERROR(__xludf.DUMMYFUNCTION("""COMPUTED_VALUE"""),0.6)</f>
        <v>0.6</v>
      </c>
      <c r="F43" s="54">
        <f>IFERROR(__xludf.DUMMYFUNCTION("""COMPUTED_VALUE"""),2.0)</f>
        <v>2</v>
      </c>
      <c r="G43" s="55">
        <f>IFERROR(__xludf.DUMMYFUNCTION("""COMPUTED_VALUE"""),0.0)</f>
        <v>0</v>
      </c>
      <c r="H43" s="56">
        <f>IFERROR(__xludf.DUMMYFUNCTION("""COMPUTED_VALUE"""),2.6)</f>
        <v>2.6</v>
      </c>
      <c r="I43" s="57">
        <f>IFERROR(__xludf.DUMMYFUNCTION("""COMPUTED_VALUE"""),0.0)</f>
        <v>0</v>
      </c>
      <c r="J43" s="58">
        <f>IFERROR(__xludf.DUMMYFUNCTION("""COMPUTED_VALUE"""),5.0)</f>
        <v>5</v>
      </c>
      <c r="K43" s="51"/>
      <c r="L43" s="60">
        <f>IFERROR(__xludf.DUMMYFUNCTION("""COMPUTED_VALUE"""),2.0)</f>
        <v>2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75" customHeight="1">
      <c r="A44" s="51">
        <f>IFERROR(__xludf.DUMMYFUNCTION("""COMPUTED_VALUE"""),28.0)</f>
        <v>28</v>
      </c>
      <c r="B44" s="52" t="str">
        <f>IFERROR(__xludf.DUMMYFUNCTION("""COMPUTED_VALUE"""),"MONTOYA")</f>
        <v>MONTOYA</v>
      </c>
      <c r="C44" s="52" t="str">
        <f>IFERROR(__xludf.DUMMYFUNCTION("""COMPUTED_VALUE"""),"LOPEZ")</f>
        <v>LOPEZ</v>
      </c>
      <c r="D44" s="53" t="str">
        <f>IFERROR(__xludf.DUMMYFUNCTION("""COMPUTED_VALUE"""),"WENDY MARIEL")</f>
        <v>WENDY MARIEL</v>
      </c>
      <c r="E44" s="54">
        <f>IFERROR(__xludf.DUMMYFUNCTION("""COMPUTED_VALUE"""),8.0)</f>
        <v>8</v>
      </c>
      <c r="F44" s="54">
        <f>IFERROR(__xludf.DUMMYFUNCTION("""COMPUTED_VALUE"""),2.0)</f>
        <v>2</v>
      </c>
      <c r="G44" s="55">
        <f>IFERROR(__xludf.DUMMYFUNCTION("""COMPUTED_VALUE"""),0.0)</f>
        <v>0</v>
      </c>
      <c r="H44" s="56">
        <f>IFERROR(__xludf.DUMMYFUNCTION("""COMPUTED_VALUE"""),10.0)</f>
        <v>10</v>
      </c>
      <c r="I44" s="57">
        <f>IFERROR(__xludf.DUMMYFUNCTION("""COMPUTED_VALUE"""),0.0)</f>
        <v>0</v>
      </c>
      <c r="J44" s="58">
        <f>IFERROR(__xludf.DUMMYFUNCTION("""COMPUTED_VALUE"""),10.0)</f>
        <v>10</v>
      </c>
      <c r="K44" s="51"/>
      <c r="L44" s="60">
        <f>IFERROR(__xludf.DUMMYFUNCTION("""COMPUTED_VALUE"""),10.0)</f>
        <v>10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75" customHeight="1">
      <c r="A45" s="51">
        <f>IFERROR(__xludf.DUMMYFUNCTION("""COMPUTED_VALUE"""),29.0)</f>
        <v>29</v>
      </c>
      <c r="B45" s="52" t="str">
        <f>IFERROR(__xludf.DUMMYFUNCTION("""COMPUTED_VALUE"""),"MORA")</f>
        <v>MORA</v>
      </c>
      <c r="C45" s="52" t="str">
        <f>IFERROR(__xludf.DUMMYFUNCTION("""COMPUTED_VALUE"""),"SORIANO")</f>
        <v>SORIANO</v>
      </c>
      <c r="D45" s="53" t="str">
        <f>IFERROR(__xludf.DUMMYFUNCTION("""COMPUTED_VALUE"""),"GIANNINA")</f>
        <v>GIANNINA</v>
      </c>
      <c r="E45" s="54">
        <f>IFERROR(__xludf.DUMMYFUNCTION("""COMPUTED_VALUE"""),8.0)</f>
        <v>8</v>
      </c>
      <c r="F45" s="54">
        <f>IFERROR(__xludf.DUMMYFUNCTION("""COMPUTED_VALUE"""),2.0)</f>
        <v>2</v>
      </c>
      <c r="G45" s="55">
        <f>IFERROR(__xludf.DUMMYFUNCTION("""COMPUTED_VALUE"""),0.0)</f>
        <v>0</v>
      </c>
      <c r="H45" s="56">
        <f>IFERROR(__xludf.DUMMYFUNCTION("""COMPUTED_VALUE"""),10.0)</f>
        <v>10</v>
      </c>
      <c r="I45" s="57">
        <f>IFERROR(__xludf.DUMMYFUNCTION("""COMPUTED_VALUE"""),0.0)</f>
        <v>0</v>
      </c>
      <c r="J45" s="58">
        <f>IFERROR(__xludf.DUMMYFUNCTION("""COMPUTED_VALUE"""),10.0)</f>
        <v>10</v>
      </c>
      <c r="K45" s="51"/>
      <c r="L45" s="60">
        <f>IFERROR(__xludf.DUMMYFUNCTION("""COMPUTED_VALUE"""),10.0)</f>
        <v>10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75" customHeight="1">
      <c r="A46" s="51">
        <f>IFERROR(__xludf.DUMMYFUNCTION("""COMPUTED_VALUE"""),30.0)</f>
        <v>30</v>
      </c>
      <c r="B46" s="52" t="str">
        <f>IFERROR(__xludf.DUMMYFUNCTION("""COMPUTED_VALUE"""),"PAZ")</f>
        <v>PAZ</v>
      </c>
      <c r="C46" s="52" t="str">
        <f>IFERROR(__xludf.DUMMYFUNCTION("""COMPUTED_VALUE"""),"GUTIERREZ")</f>
        <v>GUTIERREZ</v>
      </c>
      <c r="D46" s="53" t="str">
        <f>IFERROR(__xludf.DUMMYFUNCTION("""COMPUTED_VALUE"""),"NADIA PAMELA")</f>
        <v>NADIA PAMELA</v>
      </c>
      <c r="E46" s="54">
        <f>IFERROR(__xludf.DUMMYFUNCTION("""COMPUTED_VALUE"""),8.0)</f>
        <v>8</v>
      </c>
      <c r="F46" s="54">
        <f>IFERROR(__xludf.DUMMYFUNCTION("""COMPUTED_VALUE"""),2.0)</f>
        <v>2</v>
      </c>
      <c r="G46" s="55">
        <f>IFERROR(__xludf.DUMMYFUNCTION("""COMPUTED_VALUE"""),0.0)</f>
        <v>0</v>
      </c>
      <c r="H46" s="56">
        <f>IFERROR(__xludf.DUMMYFUNCTION("""COMPUTED_VALUE"""),10.0)</f>
        <v>10</v>
      </c>
      <c r="I46" s="57">
        <f>IFERROR(__xludf.DUMMYFUNCTION("""COMPUTED_VALUE"""),0.0)</f>
        <v>0</v>
      </c>
      <c r="J46" s="58">
        <f>IFERROR(__xludf.DUMMYFUNCTION("""COMPUTED_VALUE"""),10.0)</f>
        <v>10</v>
      </c>
      <c r="K46" s="51"/>
      <c r="L46" s="60">
        <f>IFERROR(__xludf.DUMMYFUNCTION("""COMPUTED_VALUE"""),10.0)</f>
        <v>10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75" customHeight="1">
      <c r="A47" s="51">
        <f>IFERROR(__xludf.DUMMYFUNCTION("""COMPUTED_VALUE"""),31.0)</f>
        <v>31</v>
      </c>
      <c r="B47" s="52" t="str">
        <f>IFERROR(__xludf.DUMMYFUNCTION("""COMPUTED_VALUE"""),"RAMIREZ")</f>
        <v>RAMIREZ</v>
      </c>
      <c r="C47" s="52" t="str">
        <f>IFERROR(__xludf.DUMMYFUNCTION("""COMPUTED_VALUE"""),"MALDONADO")</f>
        <v>MALDONADO</v>
      </c>
      <c r="D47" s="53" t="str">
        <f>IFERROR(__xludf.DUMMYFUNCTION("""COMPUTED_VALUE"""),"DULCE MONTSERRAT")</f>
        <v>DULCE MONTSERRAT</v>
      </c>
      <c r="E47" s="54">
        <f>IFERROR(__xludf.DUMMYFUNCTION("""COMPUTED_VALUE"""),8.0)</f>
        <v>8</v>
      </c>
      <c r="F47" s="54">
        <f>IFERROR(__xludf.DUMMYFUNCTION("""COMPUTED_VALUE"""),2.0)</f>
        <v>2</v>
      </c>
      <c r="G47" s="55">
        <f>IFERROR(__xludf.DUMMYFUNCTION("""COMPUTED_VALUE"""),0.0)</f>
        <v>0</v>
      </c>
      <c r="H47" s="56">
        <f>IFERROR(__xludf.DUMMYFUNCTION("""COMPUTED_VALUE"""),10.0)</f>
        <v>10</v>
      </c>
      <c r="I47" s="57">
        <f>IFERROR(__xludf.DUMMYFUNCTION("""COMPUTED_VALUE"""),0.0)</f>
        <v>0</v>
      </c>
      <c r="J47" s="58">
        <f>IFERROR(__xludf.DUMMYFUNCTION("""COMPUTED_VALUE"""),10.0)</f>
        <v>10</v>
      </c>
      <c r="K47" s="51"/>
      <c r="L47" s="60">
        <f>IFERROR(__xludf.DUMMYFUNCTION("""COMPUTED_VALUE"""),10.0)</f>
        <v>10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75" customHeight="1">
      <c r="A48" s="51">
        <f>IFERROR(__xludf.DUMMYFUNCTION("""COMPUTED_VALUE"""),32.0)</f>
        <v>32</v>
      </c>
      <c r="B48" s="52" t="str">
        <f>IFERROR(__xludf.DUMMYFUNCTION("""COMPUTED_VALUE"""),"RAMOS")</f>
        <v>RAMOS</v>
      </c>
      <c r="C48" s="52" t="str">
        <f>IFERROR(__xludf.DUMMYFUNCTION("""COMPUTED_VALUE"""),"SANTANA")</f>
        <v>SANTANA</v>
      </c>
      <c r="D48" s="53" t="str">
        <f>IFERROR(__xludf.DUMMYFUNCTION("""COMPUTED_VALUE"""),"OSCAR SAMUEL")</f>
        <v>OSCAR SAMUEL</v>
      </c>
      <c r="E48" s="54">
        <f>IFERROR(__xludf.DUMMYFUNCTION("""COMPUTED_VALUE"""),6.5)</f>
        <v>6.5</v>
      </c>
      <c r="F48" s="54">
        <f>IFERROR(__xludf.DUMMYFUNCTION("""COMPUTED_VALUE"""),2.0)</f>
        <v>2</v>
      </c>
      <c r="G48" s="55">
        <f>IFERROR(__xludf.DUMMYFUNCTION("""COMPUTED_VALUE"""),0.0)</f>
        <v>0</v>
      </c>
      <c r="H48" s="56">
        <f>IFERROR(__xludf.DUMMYFUNCTION("""COMPUTED_VALUE"""),8.5)</f>
        <v>8.5</v>
      </c>
      <c r="I48" s="57">
        <f>IFERROR(__xludf.DUMMYFUNCTION("""COMPUTED_VALUE"""),0.0)</f>
        <v>0</v>
      </c>
      <c r="J48" s="58">
        <f>IFERROR(__xludf.DUMMYFUNCTION("""COMPUTED_VALUE"""),9.0)</f>
        <v>9</v>
      </c>
      <c r="K48" s="51"/>
      <c r="L48" s="60">
        <f>IFERROR(__xludf.DUMMYFUNCTION("""COMPUTED_VALUE"""),9.0)</f>
        <v>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75" customHeight="1">
      <c r="A49" s="51">
        <f>IFERROR(__xludf.DUMMYFUNCTION("""COMPUTED_VALUE"""),33.0)</f>
        <v>33</v>
      </c>
      <c r="B49" s="52" t="str">
        <f>IFERROR(__xludf.DUMMYFUNCTION("""COMPUTED_VALUE"""),"RESENDIZ")</f>
        <v>RESENDIZ</v>
      </c>
      <c r="C49" s="52" t="str">
        <f>IFERROR(__xludf.DUMMYFUNCTION("""COMPUTED_VALUE"""),"GODINEZ")</f>
        <v>GODINEZ</v>
      </c>
      <c r="D49" s="53" t="str">
        <f>IFERROR(__xludf.DUMMYFUNCTION("""COMPUTED_VALUE"""),"GAEL EMILIANO")</f>
        <v>GAEL EMILIANO</v>
      </c>
      <c r="E49" s="54">
        <f>IFERROR(__xludf.DUMMYFUNCTION("""COMPUTED_VALUE"""),8.0)</f>
        <v>8</v>
      </c>
      <c r="F49" s="54">
        <f>IFERROR(__xludf.DUMMYFUNCTION("""COMPUTED_VALUE"""),2.0)</f>
        <v>2</v>
      </c>
      <c r="G49" s="55">
        <f>IFERROR(__xludf.DUMMYFUNCTION("""COMPUTED_VALUE"""),0.0)</f>
        <v>0</v>
      </c>
      <c r="H49" s="56">
        <f>IFERROR(__xludf.DUMMYFUNCTION("""COMPUTED_VALUE"""),10.0)</f>
        <v>10</v>
      </c>
      <c r="I49" s="57">
        <f>IFERROR(__xludf.DUMMYFUNCTION("""COMPUTED_VALUE"""),0.0)</f>
        <v>0</v>
      </c>
      <c r="J49" s="58">
        <f>IFERROR(__xludf.DUMMYFUNCTION("""COMPUTED_VALUE"""),10.0)</f>
        <v>10</v>
      </c>
      <c r="K49" s="51"/>
      <c r="L49" s="60">
        <f>IFERROR(__xludf.DUMMYFUNCTION("""COMPUTED_VALUE"""),10.0)</f>
        <v>10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75" customHeight="1">
      <c r="A50" s="51">
        <f>IFERROR(__xludf.DUMMYFUNCTION("""COMPUTED_VALUE"""),34.0)</f>
        <v>34</v>
      </c>
      <c r="B50" s="52" t="str">
        <f>IFERROR(__xludf.DUMMYFUNCTION("""COMPUTED_VALUE"""),"REYES")</f>
        <v>REYES</v>
      </c>
      <c r="C50" s="52" t="str">
        <f>IFERROR(__xludf.DUMMYFUNCTION("""COMPUTED_VALUE"""),"ALLENDE")</f>
        <v>ALLENDE</v>
      </c>
      <c r="D50" s="53" t="str">
        <f>IFERROR(__xludf.DUMMYFUNCTION("""COMPUTED_VALUE"""),"ANA LILIA")</f>
        <v>ANA LILIA</v>
      </c>
      <c r="E50" s="54">
        <f>IFERROR(__xludf.DUMMYFUNCTION("""COMPUTED_VALUE"""),7.6)</f>
        <v>7.6</v>
      </c>
      <c r="F50" s="54">
        <f>IFERROR(__xludf.DUMMYFUNCTION("""COMPUTED_VALUE"""),2.0)</f>
        <v>2</v>
      </c>
      <c r="G50" s="55">
        <f>IFERROR(__xludf.DUMMYFUNCTION("""COMPUTED_VALUE"""),0.0)</f>
        <v>0</v>
      </c>
      <c r="H50" s="56">
        <f>IFERROR(__xludf.DUMMYFUNCTION("""COMPUTED_VALUE"""),9.6)</f>
        <v>9.6</v>
      </c>
      <c r="I50" s="57">
        <f>IFERROR(__xludf.DUMMYFUNCTION("""COMPUTED_VALUE"""),1.0)</f>
        <v>1</v>
      </c>
      <c r="J50" s="58">
        <f>IFERROR(__xludf.DUMMYFUNCTION("""COMPUTED_VALUE"""),10.0)</f>
        <v>10</v>
      </c>
      <c r="K50" s="51"/>
      <c r="L50" s="60">
        <f>IFERROR(__xludf.DUMMYFUNCTION("""COMPUTED_VALUE"""),10.0)</f>
        <v>10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75" customHeight="1">
      <c r="A51" s="51">
        <f>IFERROR(__xludf.DUMMYFUNCTION("""COMPUTED_VALUE"""),35.0)</f>
        <v>35</v>
      </c>
      <c r="B51" s="52" t="str">
        <f>IFERROR(__xludf.DUMMYFUNCTION("""COMPUTED_VALUE"""),"REYES")</f>
        <v>REYES</v>
      </c>
      <c r="C51" s="52" t="str">
        <f>IFERROR(__xludf.DUMMYFUNCTION("""COMPUTED_VALUE"""),"FUENTES")</f>
        <v>FUENTES</v>
      </c>
      <c r="D51" s="53" t="str">
        <f>IFERROR(__xludf.DUMMYFUNCTION("""COMPUTED_VALUE"""),"ELIZABETH")</f>
        <v>ELIZABETH</v>
      </c>
      <c r="E51" s="54">
        <f>IFERROR(__xludf.DUMMYFUNCTION("""COMPUTED_VALUE"""),8.0)</f>
        <v>8</v>
      </c>
      <c r="F51" s="54">
        <f>IFERROR(__xludf.DUMMYFUNCTION("""COMPUTED_VALUE"""),2.0)</f>
        <v>2</v>
      </c>
      <c r="G51" s="55">
        <f>IFERROR(__xludf.DUMMYFUNCTION("""COMPUTED_VALUE"""),0.0)</f>
        <v>0</v>
      </c>
      <c r="H51" s="56">
        <f>IFERROR(__xludf.DUMMYFUNCTION("""COMPUTED_VALUE"""),10.0)</f>
        <v>10</v>
      </c>
      <c r="I51" s="57">
        <f>IFERROR(__xludf.DUMMYFUNCTION("""COMPUTED_VALUE"""),0.0)</f>
        <v>0</v>
      </c>
      <c r="J51" s="58">
        <f>IFERROR(__xludf.DUMMYFUNCTION("""COMPUTED_VALUE"""),10.0)</f>
        <v>10</v>
      </c>
      <c r="K51" s="51"/>
      <c r="L51" s="60">
        <f>IFERROR(__xludf.DUMMYFUNCTION("""COMPUTED_VALUE"""),10.0)</f>
        <v>10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75" customHeight="1">
      <c r="A52" s="51">
        <f>IFERROR(__xludf.DUMMYFUNCTION("""COMPUTED_VALUE"""),36.0)</f>
        <v>36</v>
      </c>
      <c r="B52" s="52" t="str">
        <f>IFERROR(__xludf.DUMMYFUNCTION("""COMPUTED_VALUE"""),"SANCHEZ")</f>
        <v>SANCHEZ</v>
      </c>
      <c r="C52" s="52" t="str">
        <f>IFERROR(__xludf.DUMMYFUNCTION("""COMPUTED_VALUE"""),"MELENDEZ")</f>
        <v>MELENDEZ</v>
      </c>
      <c r="D52" s="53" t="str">
        <f>IFERROR(__xludf.DUMMYFUNCTION("""COMPUTED_VALUE"""),"JACQUELINE")</f>
        <v>JACQUELINE</v>
      </c>
      <c r="E52" s="54">
        <f>IFERROR(__xludf.DUMMYFUNCTION("""COMPUTED_VALUE"""),8.0)</f>
        <v>8</v>
      </c>
      <c r="F52" s="54">
        <f>IFERROR(__xludf.DUMMYFUNCTION("""COMPUTED_VALUE"""),2.0)</f>
        <v>2</v>
      </c>
      <c r="G52" s="55">
        <f>IFERROR(__xludf.DUMMYFUNCTION("""COMPUTED_VALUE"""),0.0)</f>
        <v>0</v>
      </c>
      <c r="H52" s="56">
        <f>IFERROR(__xludf.DUMMYFUNCTION("""COMPUTED_VALUE"""),10.0)</f>
        <v>10</v>
      </c>
      <c r="I52" s="57">
        <f>IFERROR(__xludf.DUMMYFUNCTION("""COMPUTED_VALUE"""),0.0)</f>
        <v>0</v>
      </c>
      <c r="J52" s="58">
        <f>IFERROR(__xludf.DUMMYFUNCTION("""COMPUTED_VALUE"""),10.0)</f>
        <v>10</v>
      </c>
      <c r="K52" s="51"/>
      <c r="L52" s="59">
        <f>IFERROR(__xludf.DUMMYFUNCTION("""COMPUTED_VALUE"""),10.0)</f>
        <v>10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75" customHeight="1">
      <c r="A53" s="51">
        <f>IFERROR(__xludf.DUMMYFUNCTION("""COMPUTED_VALUE"""),37.0)</f>
        <v>37</v>
      </c>
      <c r="B53" s="52" t="str">
        <f>IFERROR(__xludf.DUMMYFUNCTION("""COMPUTED_VALUE"""),"SERRANO")</f>
        <v>SERRANO</v>
      </c>
      <c r="C53" s="52" t="str">
        <f>IFERROR(__xludf.DUMMYFUNCTION("""COMPUTED_VALUE"""),"MAGALLON")</f>
        <v>MAGALLON</v>
      </c>
      <c r="D53" s="53" t="str">
        <f>IFERROR(__xludf.DUMMYFUNCTION("""COMPUTED_VALUE"""),"DIEGO")</f>
        <v>DIEGO</v>
      </c>
      <c r="E53" s="54">
        <f>IFERROR(__xludf.DUMMYFUNCTION("""COMPUTED_VALUE"""),8.0)</f>
        <v>8</v>
      </c>
      <c r="F53" s="54">
        <f>IFERROR(__xludf.DUMMYFUNCTION("""COMPUTED_VALUE"""),0.0)</f>
        <v>0</v>
      </c>
      <c r="G53" s="55">
        <f>IFERROR(__xludf.DUMMYFUNCTION("""COMPUTED_VALUE"""),0.0)</f>
        <v>0</v>
      </c>
      <c r="H53" s="56">
        <f>IFERROR(__xludf.DUMMYFUNCTION("""COMPUTED_VALUE"""),8.0)</f>
        <v>8</v>
      </c>
      <c r="I53" s="57">
        <f>IFERROR(__xludf.DUMMYFUNCTION("""COMPUTED_VALUE"""),0.0)</f>
        <v>0</v>
      </c>
      <c r="J53" s="58">
        <f>IFERROR(__xludf.DUMMYFUNCTION("""COMPUTED_VALUE"""),8.0)</f>
        <v>8</v>
      </c>
      <c r="K53" s="51"/>
      <c r="L53" s="59">
        <f>IFERROR(__xludf.DUMMYFUNCTION("""COMPUTED_VALUE"""),8.0)</f>
        <v>8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75" customHeight="1">
      <c r="A54" s="51">
        <f>IFERROR(__xludf.DUMMYFUNCTION("""COMPUTED_VALUE"""),38.0)</f>
        <v>38</v>
      </c>
      <c r="B54" s="52" t="str">
        <f>IFERROR(__xludf.DUMMYFUNCTION("""COMPUTED_VALUE"""),"SOSA")</f>
        <v>SOSA</v>
      </c>
      <c r="C54" s="52" t="str">
        <f>IFERROR(__xludf.DUMMYFUNCTION("""COMPUTED_VALUE"""),"ALCANTARA")</f>
        <v>ALCANTARA</v>
      </c>
      <c r="D54" s="53" t="str">
        <f>IFERROR(__xludf.DUMMYFUNCTION("""COMPUTED_VALUE"""),"IAN MICHELLE")</f>
        <v>IAN MICHELLE</v>
      </c>
      <c r="E54" s="54">
        <f>IFERROR(__xludf.DUMMYFUNCTION("""COMPUTED_VALUE"""),6.5)</f>
        <v>6.5</v>
      </c>
      <c r="F54" s="54">
        <f>IFERROR(__xludf.DUMMYFUNCTION("""COMPUTED_VALUE"""),2.0)</f>
        <v>2</v>
      </c>
      <c r="G54" s="55">
        <f>IFERROR(__xludf.DUMMYFUNCTION("""COMPUTED_VALUE"""),0.0)</f>
        <v>0</v>
      </c>
      <c r="H54" s="56">
        <f>IFERROR(__xludf.DUMMYFUNCTION("""COMPUTED_VALUE"""),8.5)</f>
        <v>8.5</v>
      </c>
      <c r="I54" s="57">
        <f>IFERROR(__xludf.DUMMYFUNCTION("""COMPUTED_VALUE"""),0.0)</f>
        <v>0</v>
      </c>
      <c r="J54" s="58">
        <f>IFERROR(__xludf.DUMMYFUNCTION("""COMPUTED_VALUE"""),9.0)</f>
        <v>9</v>
      </c>
      <c r="K54" s="51"/>
      <c r="L54" s="59">
        <f>IFERROR(__xludf.DUMMYFUNCTION("""COMPUTED_VALUE"""),9.0)</f>
        <v>9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75" customHeight="1">
      <c r="A55" s="51">
        <f>IFERROR(__xludf.DUMMYFUNCTION("""COMPUTED_VALUE"""),39.0)</f>
        <v>39</v>
      </c>
      <c r="B55" s="52" t="str">
        <f>IFERROR(__xludf.DUMMYFUNCTION("""COMPUTED_VALUE"""),"SOTO")</f>
        <v>SOTO</v>
      </c>
      <c r="C55" s="52" t="str">
        <f>IFERROR(__xludf.DUMMYFUNCTION("""COMPUTED_VALUE"""),"CORTES")</f>
        <v>CORTES</v>
      </c>
      <c r="D55" s="53" t="str">
        <f>IFERROR(__xludf.DUMMYFUNCTION("""COMPUTED_VALUE"""),"ANGEL SEBASTIAN")</f>
        <v>ANGEL SEBASTIAN</v>
      </c>
      <c r="E55" s="54">
        <f>IFERROR(__xludf.DUMMYFUNCTION("""COMPUTED_VALUE"""),4.1)</f>
        <v>4.1</v>
      </c>
      <c r="F55" s="54">
        <f>IFERROR(__xludf.DUMMYFUNCTION("""COMPUTED_VALUE"""),2.0)</f>
        <v>2</v>
      </c>
      <c r="G55" s="55">
        <f>IFERROR(__xludf.DUMMYFUNCTION("""COMPUTED_VALUE"""),0.0)</f>
        <v>0</v>
      </c>
      <c r="H55" s="56">
        <f>IFERROR(__xludf.DUMMYFUNCTION("""COMPUTED_VALUE"""),6.1)</f>
        <v>6.1</v>
      </c>
      <c r="I55" s="61">
        <f>IFERROR(__xludf.DUMMYFUNCTION("""COMPUTED_VALUE"""),1.0)</f>
        <v>1</v>
      </c>
      <c r="J55" s="58">
        <f>IFERROR(__xludf.DUMMYFUNCTION("""COMPUTED_VALUE"""),6.0)</f>
        <v>6</v>
      </c>
      <c r="K55" s="51"/>
      <c r="L55" s="59">
        <f>IFERROR(__xludf.DUMMYFUNCTION("""COMPUTED_VALUE"""),6.0)</f>
        <v>6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75" customHeight="1">
      <c r="A56" s="51">
        <f>IFERROR(__xludf.DUMMYFUNCTION("""COMPUTED_VALUE"""),40.0)</f>
        <v>40</v>
      </c>
      <c r="B56" s="52" t="str">
        <f>IFERROR(__xludf.DUMMYFUNCTION("""COMPUTED_VALUE"""),"TLAPALAMATL")</f>
        <v>TLAPALAMATL</v>
      </c>
      <c r="C56" s="52" t="str">
        <f>IFERROR(__xludf.DUMMYFUNCTION("""COMPUTED_VALUE"""),"GONZALEZ")</f>
        <v>GONZALEZ</v>
      </c>
      <c r="D56" s="53" t="str">
        <f>IFERROR(__xludf.DUMMYFUNCTION("""COMPUTED_VALUE"""),"ANGEL ISRAEL")</f>
        <v>ANGEL ISRAEL</v>
      </c>
      <c r="E56" s="54">
        <f>IFERROR(__xludf.DUMMYFUNCTION("""COMPUTED_VALUE"""),6.5)</f>
        <v>6.5</v>
      </c>
      <c r="F56" s="54">
        <f>IFERROR(__xludf.DUMMYFUNCTION("""COMPUTED_VALUE"""),0.0)</f>
        <v>0</v>
      </c>
      <c r="G56" s="55">
        <f>IFERROR(__xludf.DUMMYFUNCTION("""COMPUTED_VALUE"""),0.0)</f>
        <v>0</v>
      </c>
      <c r="H56" s="56">
        <f>IFERROR(__xludf.DUMMYFUNCTION("""COMPUTED_VALUE"""),6.5)</f>
        <v>6.5</v>
      </c>
      <c r="I56" s="61">
        <f>IFERROR(__xludf.DUMMYFUNCTION("""COMPUTED_VALUE"""),0.0)</f>
        <v>0</v>
      </c>
      <c r="J56" s="58">
        <f>IFERROR(__xludf.DUMMYFUNCTION("""COMPUTED_VALUE"""),7.0)</f>
        <v>7</v>
      </c>
      <c r="K56" s="51"/>
      <c r="L56" s="59">
        <f>IFERROR(__xludf.DUMMYFUNCTION("""COMPUTED_VALUE"""),7.0)</f>
        <v>7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75" customHeight="1">
      <c r="A57" s="51">
        <f>IFERROR(__xludf.DUMMYFUNCTION("""COMPUTED_VALUE"""),41.0)</f>
        <v>41</v>
      </c>
      <c r="B57" s="62" t="str">
        <f>IFERROR(__xludf.DUMMYFUNCTION("""COMPUTED_VALUE"""),"TORRES")</f>
        <v>TORRES</v>
      </c>
      <c r="C57" s="52" t="str">
        <f>IFERROR(__xludf.DUMMYFUNCTION("""COMPUTED_VALUE"""),"LOPEZ")</f>
        <v>LOPEZ</v>
      </c>
      <c r="D57" s="63" t="str">
        <f>IFERROR(__xludf.DUMMYFUNCTION("""COMPUTED_VALUE"""),"ESMERALDA DANNAE")</f>
        <v>ESMERALDA DANNAE</v>
      </c>
      <c r="E57" s="54">
        <f>IFERROR(__xludf.DUMMYFUNCTION("""COMPUTED_VALUE"""),8.0)</f>
        <v>8</v>
      </c>
      <c r="F57" s="54">
        <f>IFERROR(__xludf.DUMMYFUNCTION("""COMPUTED_VALUE"""),2.0)</f>
        <v>2</v>
      </c>
      <c r="G57" s="55">
        <f>IFERROR(__xludf.DUMMYFUNCTION("""COMPUTED_VALUE"""),0.0)</f>
        <v>0</v>
      </c>
      <c r="H57" s="56">
        <f>IFERROR(__xludf.DUMMYFUNCTION("""COMPUTED_VALUE"""),10.0)</f>
        <v>10</v>
      </c>
      <c r="I57" s="61">
        <f>IFERROR(__xludf.DUMMYFUNCTION("""COMPUTED_VALUE"""),0.0)</f>
        <v>0</v>
      </c>
      <c r="J57" s="58">
        <f>IFERROR(__xludf.DUMMYFUNCTION("""COMPUTED_VALUE"""),10.0)</f>
        <v>10</v>
      </c>
      <c r="K57" s="51"/>
      <c r="L57" s="59">
        <f>IFERROR(__xludf.DUMMYFUNCTION("""COMPUTED_VALUE"""),10.0)</f>
        <v>10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75" customHeight="1">
      <c r="A58" s="51">
        <f>IFERROR(__xludf.DUMMYFUNCTION("""COMPUTED_VALUE"""),42.0)</f>
        <v>42</v>
      </c>
      <c r="B58" s="62" t="str">
        <f>IFERROR(__xludf.DUMMYFUNCTION("""COMPUTED_VALUE"""),"VARGAS")</f>
        <v>VARGAS</v>
      </c>
      <c r="C58" s="52" t="str">
        <f>IFERROR(__xludf.DUMMYFUNCTION("""COMPUTED_VALUE"""),"RODRIGUEZ")</f>
        <v>RODRIGUEZ</v>
      </c>
      <c r="D58" s="64" t="str">
        <f>IFERROR(__xludf.DUMMYFUNCTION("""COMPUTED_VALUE"""),"PABLO")</f>
        <v>PABLO</v>
      </c>
      <c r="E58" s="54">
        <f>IFERROR(__xludf.DUMMYFUNCTION("""COMPUTED_VALUE"""),8.0)</f>
        <v>8</v>
      </c>
      <c r="F58" s="54">
        <f>IFERROR(__xludf.DUMMYFUNCTION("""COMPUTED_VALUE"""),2.0)</f>
        <v>2</v>
      </c>
      <c r="G58" s="55">
        <f>IFERROR(__xludf.DUMMYFUNCTION("""COMPUTED_VALUE"""),0.0)</f>
        <v>0</v>
      </c>
      <c r="H58" s="56">
        <f>IFERROR(__xludf.DUMMYFUNCTION("""COMPUTED_VALUE"""),10.0)</f>
        <v>10</v>
      </c>
      <c r="I58" s="61">
        <f>IFERROR(__xludf.DUMMYFUNCTION("""COMPUTED_VALUE"""),0.0)</f>
        <v>0</v>
      </c>
      <c r="J58" s="58">
        <f>IFERROR(__xludf.DUMMYFUNCTION("""COMPUTED_VALUE"""),10.0)</f>
        <v>10</v>
      </c>
      <c r="K58" s="51"/>
      <c r="L58" s="59">
        <f>IFERROR(__xludf.DUMMYFUNCTION("""COMPUTED_VALUE"""),10.0)</f>
        <v>10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75" customHeight="1">
      <c r="A59" s="51">
        <f>IFERROR(__xludf.DUMMYFUNCTION("""COMPUTED_VALUE"""),43.0)</f>
        <v>43</v>
      </c>
      <c r="B59" s="62" t="str">
        <f>IFERROR(__xludf.DUMMYFUNCTION("""COMPUTED_VALUE"""),"VARGAS")</f>
        <v>VARGAS</v>
      </c>
      <c r="C59" s="52" t="str">
        <f>IFERROR(__xludf.DUMMYFUNCTION("""COMPUTED_VALUE"""),"ROMERO")</f>
        <v>ROMERO</v>
      </c>
      <c r="D59" s="64" t="str">
        <f>IFERROR(__xludf.DUMMYFUNCTION("""COMPUTED_VALUE"""),"MEDELIN YANDERI")</f>
        <v>MEDELIN YANDERI</v>
      </c>
      <c r="E59" s="54">
        <f>IFERROR(__xludf.DUMMYFUNCTION("""COMPUTED_VALUE"""),6.0)</f>
        <v>6</v>
      </c>
      <c r="F59" s="54">
        <f>IFERROR(__xludf.DUMMYFUNCTION("""COMPUTED_VALUE"""),2.0)</f>
        <v>2</v>
      </c>
      <c r="G59" s="55">
        <f>IFERROR(__xludf.DUMMYFUNCTION("""COMPUTED_VALUE"""),0.0)</f>
        <v>0</v>
      </c>
      <c r="H59" s="56">
        <f>IFERROR(__xludf.DUMMYFUNCTION("""COMPUTED_VALUE"""),8.0)</f>
        <v>8</v>
      </c>
      <c r="I59" s="61">
        <f>IFERROR(__xludf.DUMMYFUNCTION("""COMPUTED_VALUE"""),0.0)</f>
        <v>0</v>
      </c>
      <c r="J59" s="58">
        <f>IFERROR(__xludf.DUMMYFUNCTION("""COMPUTED_VALUE"""),8.0)</f>
        <v>8</v>
      </c>
      <c r="K59" s="51"/>
      <c r="L59" s="59">
        <f>IFERROR(__xludf.DUMMYFUNCTION("""COMPUTED_VALUE"""),8.0)</f>
        <v>8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75" customHeight="1">
      <c r="A60" s="51">
        <f>IFERROR(__xludf.DUMMYFUNCTION("""COMPUTED_VALUE"""),44.0)</f>
        <v>44</v>
      </c>
      <c r="B60" s="62" t="str">
        <f>IFERROR(__xludf.DUMMYFUNCTION("""COMPUTED_VALUE"""),"VEGA")</f>
        <v>VEGA</v>
      </c>
      <c r="C60" s="52" t="str">
        <f>IFERROR(__xludf.DUMMYFUNCTION("""COMPUTED_VALUE"""),"BARRON")</f>
        <v>BARRON</v>
      </c>
      <c r="D60" s="64" t="str">
        <f>IFERROR(__xludf.DUMMYFUNCTION("""COMPUTED_VALUE"""),"VALENTINA")</f>
        <v>VALENTINA</v>
      </c>
      <c r="E60" s="54">
        <f>IFERROR(__xludf.DUMMYFUNCTION("""COMPUTED_VALUE"""),8.0)</f>
        <v>8</v>
      </c>
      <c r="F60" s="54">
        <f>IFERROR(__xludf.DUMMYFUNCTION("""COMPUTED_VALUE"""),2.0)</f>
        <v>2</v>
      </c>
      <c r="G60" s="55">
        <f>IFERROR(__xludf.DUMMYFUNCTION("""COMPUTED_VALUE"""),0.0)</f>
        <v>0</v>
      </c>
      <c r="H60" s="56">
        <f>IFERROR(__xludf.DUMMYFUNCTION("""COMPUTED_VALUE"""),10.0)</f>
        <v>10</v>
      </c>
      <c r="I60" s="61">
        <f>IFERROR(__xludf.DUMMYFUNCTION("""COMPUTED_VALUE"""),0.0)</f>
        <v>0</v>
      </c>
      <c r="J60" s="58">
        <f>IFERROR(__xludf.DUMMYFUNCTION("""COMPUTED_VALUE"""),10.0)</f>
        <v>10</v>
      </c>
      <c r="K60" s="51"/>
      <c r="L60" s="59">
        <f>IFERROR(__xludf.DUMMYFUNCTION("""COMPUTED_VALUE"""),10.0)</f>
        <v>10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75" customHeight="1">
      <c r="A61" s="51">
        <f>IFERROR(__xludf.DUMMYFUNCTION("""COMPUTED_VALUE"""),45.0)</f>
        <v>45</v>
      </c>
      <c r="B61" s="62" t="str">
        <f>IFERROR(__xludf.DUMMYFUNCTION("""COMPUTED_VALUE"""),"VELAZQUEZ")</f>
        <v>VELAZQUEZ</v>
      </c>
      <c r="C61" s="52" t="str">
        <f>IFERROR(__xludf.DUMMYFUNCTION("""COMPUTED_VALUE"""),"MEJIA")</f>
        <v>MEJIA</v>
      </c>
      <c r="D61" s="64" t="str">
        <f>IFERROR(__xludf.DUMMYFUNCTION("""COMPUTED_VALUE"""),"AYLIN DANIELA")</f>
        <v>AYLIN DANIELA</v>
      </c>
      <c r="E61" s="54">
        <f>IFERROR(__xludf.DUMMYFUNCTION("""COMPUTED_VALUE"""),7.8)</f>
        <v>7.8</v>
      </c>
      <c r="F61" s="54">
        <f>IFERROR(__xludf.DUMMYFUNCTION("""COMPUTED_VALUE"""),2.0)</f>
        <v>2</v>
      </c>
      <c r="G61" s="55">
        <f>IFERROR(__xludf.DUMMYFUNCTION("""COMPUTED_VALUE"""),0.0)</f>
        <v>0</v>
      </c>
      <c r="H61" s="56">
        <f>IFERROR(__xludf.DUMMYFUNCTION("""COMPUTED_VALUE"""),9.8)</f>
        <v>9.8</v>
      </c>
      <c r="I61" s="61">
        <f>IFERROR(__xludf.DUMMYFUNCTION("""COMPUTED_VALUE"""),0.0)</f>
        <v>0</v>
      </c>
      <c r="J61" s="58">
        <f>IFERROR(__xludf.DUMMYFUNCTION("""COMPUTED_VALUE"""),10.0)</f>
        <v>10</v>
      </c>
      <c r="K61" s="51"/>
      <c r="L61" s="59">
        <f>IFERROR(__xludf.DUMMYFUNCTION("""COMPUTED_VALUE"""),10.0)</f>
        <v>10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3.5" customHeight="1">
      <c r="A62" s="6"/>
      <c r="B62" s="65"/>
      <c r="C62" s="65"/>
      <c r="D62" s="65"/>
      <c r="E62" s="66"/>
      <c r="F62" s="65"/>
      <c r="G62" s="65"/>
      <c r="H62" s="65"/>
      <c r="I62" s="65"/>
      <c r="J62" s="1"/>
      <c r="K62" s="8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1.75" customHeight="1">
      <c r="A63" s="67"/>
      <c r="B63" s="68" t="str">
        <f>IFERROR(__xludf.DUMMYFUNCTION("""COMPUTED_VALUE"""),"No. DE ALUMNOS INSCRITOS")</f>
        <v>No. DE ALUMNOS INSCRITOS</v>
      </c>
      <c r="C63" s="69"/>
      <c r="D63" s="70">
        <f>IFERROR(__xludf.DUMMYFUNCTION("""COMPUTED_VALUE"""),45.0)</f>
        <v>45</v>
      </c>
      <c r="E63" s="65"/>
      <c r="F63" s="71" t="str">
        <f>IFERROR(__xludf.DUMMYFUNCTION("""COMPUTED_VALUE"""),"FIRMA DEL PROFESOR")</f>
        <v>FIRMA DEL PROFESOR</v>
      </c>
      <c r="G63" s="72"/>
      <c r="H63" s="71" t="str">
        <f>IFERROR(__xludf.DUMMYFUNCTION("""COMPUTED_VALUE"""),"FIRMA DEL ORIENTADOR")</f>
        <v>FIRMA DEL ORIENTADOR</v>
      </c>
      <c r="J63" s="73" t="str">
        <f>IFERROR(__xludf.DUMMYFUNCTION("""COMPUTED_VALUE"""),"Vo. Bo. SUBDIRECCIÓN ESCOLAR")</f>
        <v>Vo. Bo. SUBDIRECCIÓN ESCOLAR</v>
      </c>
      <c r="K63" s="74" t="str">
        <f>IFERROR(__xludf.DUMMYFUNCTION("""COMPUTED_VALUE"""),"REVISADO POR SECRETARIA ESCOLAR ")</f>
        <v>REVISADO POR SECRETARIA ESCOLAR 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1.75" customHeight="1">
      <c r="A64" s="67"/>
      <c r="B64" s="75" t="str">
        <f>IFERROR(__xludf.DUMMYFUNCTION("""COMPUTED_VALUE"""),"BAJAS DURANTE EL SEMESTRE")</f>
        <v>BAJAS DURANTE EL SEMESTRE</v>
      </c>
      <c r="C64" s="76"/>
      <c r="D64" s="77">
        <f>IFERROR(__xludf.DUMMYFUNCTION("""COMPUTED_VALUE"""),0.0)</f>
        <v>0</v>
      </c>
      <c r="E64" s="65"/>
      <c r="G64" s="72"/>
      <c r="K64" s="1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67"/>
      <c r="B65" s="78" t="str">
        <f>IFERROR(__xludf.DUMMYFUNCTION("""COMPUTED_VALUE"""),"EXISTENCIA")</f>
        <v>EXISTENCIA</v>
      </c>
      <c r="C65" s="76"/>
      <c r="D65" s="79">
        <f>IFERROR(__xludf.DUMMYFUNCTION("""COMPUTED_VALUE"""),45.0)</f>
        <v>45</v>
      </c>
      <c r="E65" s="65"/>
      <c r="F65" s="80"/>
      <c r="G65" s="81"/>
      <c r="H65" s="80"/>
      <c r="I65" s="80"/>
      <c r="J65" s="82"/>
      <c r="K65" s="83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1.75" customHeight="1">
      <c r="A66" s="67"/>
      <c r="B66" s="78" t="str">
        <f>IFERROR(__xludf.DUMMYFUNCTION("""COMPUTED_VALUE"""),"No. DE ALUMNOS APROBADOS")</f>
        <v>No. DE ALUMNOS APROBADOS</v>
      </c>
      <c r="C66" s="76"/>
      <c r="D66" s="84">
        <f>IFERROR(__xludf.DUMMYFUNCTION("""COMPUTED_VALUE"""),41.0)</f>
        <v>41</v>
      </c>
      <c r="E66" s="65"/>
      <c r="F66" s="80"/>
      <c r="G66" s="81"/>
      <c r="H66" s="80"/>
      <c r="I66" s="80"/>
      <c r="J66" s="82"/>
      <c r="K66" s="83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1.75" customHeight="1">
      <c r="A67" s="67"/>
      <c r="B67" s="78" t="str">
        <f>IFERROR(__xludf.DUMMYFUNCTION("""COMPUTED_VALUE"""),"No. DE ALUMNOS REPROBADOS")</f>
        <v>No. DE ALUMNOS REPROBADOS</v>
      </c>
      <c r="C67" s="76"/>
      <c r="D67" s="84">
        <f>IFERROR(__xludf.DUMMYFUNCTION("""COMPUTED_VALUE"""),4.0)</f>
        <v>4</v>
      </c>
      <c r="E67" s="65"/>
      <c r="F67" s="85"/>
      <c r="G67" s="81"/>
      <c r="H67" s="85"/>
      <c r="I67" s="85"/>
      <c r="J67" s="86"/>
      <c r="K67" s="87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67"/>
      <c r="B68" s="78" t="str">
        <f>IFERROR(__xludf.DUMMYFUNCTION("""COMPUTED_VALUE"""),"% DE APROBADOS")</f>
        <v>% DE APROBADOS</v>
      </c>
      <c r="C68" s="76"/>
      <c r="D68" s="88">
        <f>IFERROR(__xludf.DUMMYFUNCTION("""COMPUTED_VALUE"""),91.11111111111111)</f>
        <v>91.11111111</v>
      </c>
      <c r="E68" s="65"/>
      <c r="F68" s="89" t="str">
        <f>IFERROR(__xludf.DUMMYFUNCTION("""COMPUTED_VALUE"""),"PROFR. IVÁN HERNÁNDEZ PÉREZ")</f>
        <v>PROFR. IVÁN HERNÁNDEZ PÉREZ</v>
      </c>
      <c r="G68" s="90"/>
      <c r="H68" s="91" t="str">
        <f>IFERROR(__xludf.DUMMYFUNCTION("""COMPUTED_VALUE"""),"PROFRA. NEFTALI MARGARITA MORLAN ORTIZ")</f>
        <v>PROFRA. NEFTALI MARGARITA MORLAN ORTIZ</v>
      </c>
      <c r="J68" s="92" t="str">
        <f>IFERROR(__xludf.DUMMYFUNCTION("""COMPUTED_VALUE"""),"PROFR. OCTAVIO VÁZQUEZ BARRETO")</f>
        <v>PROFR. OCTAVIO VÁZQUEZ BARRETO</v>
      </c>
      <c r="K68" s="93" t="str">
        <f>IFERROR(__xludf.DUMMYFUNCTION("""COMPUTED_VALUE"""),"PROFR. ROBERTO PALOMARES MEJÍA ")</f>
        <v>PROFR. ROBERTO PALOMARES MEJÍA </v>
      </c>
      <c r="L68" s="94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1.75" customHeight="1">
      <c r="A69" s="67"/>
      <c r="B69" s="95" t="str">
        <f>IFERROR(__xludf.DUMMYFUNCTION("""COMPUTED_VALUE"""),"PROMEDIO")</f>
        <v>PROMEDIO</v>
      </c>
      <c r="C69" s="96"/>
      <c r="D69" s="97">
        <f>IFERROR(__xludf.DUMMYFUNCTION("""COMPUTED_VALUE"""),8.755555555555556)</f>
        <v>8.755555556</v>
      </c>
      <c r="E69" s="65"/>
      <c r="G69" s="90"/>
      <c r="K69" s="1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3.5" customHeight="1">
      <c r="A70" s="6"/>
      <c r="B70" s="1"/>
      <c r="C70" s="1"/>
      <c r="D70" s="1"/>
      <c r="E70" s="1"/>
      <c r="F70" s="1"/>
      <c r="G70" s="1"/>
      <c r="H70" s="1"/>
      <c r="I70" s="1"/>
      <c r="J70" s="1"/>
      <c r="K70" s="8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3.5" customHeight="1">
      <c r="A71" s="98"/>
      <c r="B71" s="99"/>
      <c r="C71" s="100"/>
      <c r="D71" s="100"/>
      <c r="E71" s="65"/>
      <c r="G71" s="7"/>
      <c r="H71" s="7"/>
      <c r="I71" s="7"/>
      <c r="J71" s="7"/>
      <c r="K71" s="101"/>
      <c r="L71" s="10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3.5" customHeight="1">
      <c r="A72" s="103"/>
      <c r="B72" s="65"/>
      <c r="C72" s="65"/>
      <c r="D72" s="65"/>
      <c r="E72" s="7"/>
      <c r="F72" s="1"/>
      <c r="G72" s="1"/>
      <c r="H72" s="1"/>
      <c r="I72" s="1"/>
      <c r="J72" s="1"/>
      <c r="K72" s="8"/>
      <c r="L72" s="104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03"/>
      <c r="B73" s="65"/>
      <c r="C73" s="65"/>
      <c r="D73" s="65"/>
      <c r="E73" s="7"/>
      <c r="F73" s="1"/>
      <c r="G73" s="1"/>
      <c r="H73" s="1"/>
      <c r="I73" s="1"/>
      <c r="J73" s="1"/>
      <c r="K73" s="8"/>
      <c r="L73" s="104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3.5" customHeight="1">
      <c r="A74" s="105"/>
      <c r="B74" s="106"/>
      <c r="C74" s="106"/>
      <c r="D74" s="106"/>
      <c r="E74" s="107"/>
      <c r="F74" s="108"/>
      <c r="G74" s="108"/>
      <c r="H74" s="108"/>
      <c r="I74" s="108"/>
      <c r="J74" s="108"/>
      <c r="K74" s="109"/>
      <c r="L74" s="104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10"/>
      <c r="C75" s="110"/>
      <c r="D75" s="110"/>
      <c r="E75" s="110"/>
      <c r="F75" s="1"/>
      <c r="G75" s="1"/>
      <c r="H75" s="1"/>
      <c r="I75" s="1"/>
      <c r="J75" s="111"/>
      <c r="K75" s="111"/>
      <c r="L75" s="11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10"/>
      <c r="C76" s="110"/>
      <c r="D76" s="110"/>
      <c r="E76" s="110"/>
      <c r="F76" s="1"/>
      <c r="G76" s="1"/>
      <c r="H76" s="1"/>
      <c r="I76" s="1"/>
      <c r="J76" s="111"/>
      <c r="K76" s="111"/>
      <c r="L76" s="11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10"/>
      <c r="C77" s="110"/>
      <c r="D77" s="110"/>
      <c r="E77" s="110"/>
      <c r="F77" s="1"/>
      <c r="G77" s="1"/>
      <c r="H77" s="1"/>
      <c r="I77" s="1"/>
      <c r="J77" s="111"/>
      <c r="K77" s="111"/>
      <c r="L77" s="11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10"/>
      <c r="C78" s="110"/>
      <c r="D78" s="110"/>
      <c r="E78" s="110"/>
      <c r="F78" s="1"/>
      <c r="G78" s="1"/>
      <c r="H78" s="1"/>
      <c r="I78" s="1"/>
      <c r="J78" s="111"/>
      <c r="K78" s="111"/>
      <c r="L78" s="11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10"/>
      <c r="C79" s="110"/>
      <c r="D79" s="110"/>
      <c r="E79" s="1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10"/>
      <c r="C80" s="110"/>
      <c r="D80" s="110"/>
      <c r="E80" s="110"/>
      <c r="F80" s="1"/>
      <c r="G80" s="1"/>
      <c r="H80" s="1"/>
      <c r="I80" s="1"/>
      <c r="J80" s="1"/>
      <c r="K80" s="112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10"/>
      <c r="C81" s="110"/>
      <c r="D81" s="110"/>
      <c r="E81" s="1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10"/>
      <c r="C82" s="110"/>
      <c r="D82" s="110"/>
      <c r="E82" s="1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10"/>
      <c r="C83" s="110"/>
      <c r="D83" s="110"/>
      <c r="E83" s="1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10"/>
      <c r="C84" s="110"/>
      <c r="D84" s="110"/>
      <c r="E84" s="1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10"/>
      <c r="C85" s="110"/>
      <c r="D85" s="110"/>
      <c r="E85" s="1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10"/>
      <c r="C86" s="110"/>
      <c r="D86" s="110"/>
      <c r="E86" s="1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3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3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3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3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3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3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3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3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3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3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3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3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3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3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3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3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3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3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3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3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3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3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3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3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3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3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3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3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3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3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3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3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3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3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3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3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3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3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3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3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3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3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3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3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3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3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3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3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3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3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3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3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3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3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3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3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3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3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3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3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3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3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3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3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3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3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3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3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3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3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3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3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3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3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3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3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3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3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3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3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3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3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3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3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3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3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3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3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3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3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3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3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3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3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3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3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3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3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3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3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3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3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3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3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3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3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3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3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3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3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3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3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3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3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3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3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3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3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3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3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3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3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3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3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3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3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3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3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3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3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3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3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3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3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3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3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3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3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3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3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3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3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3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3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3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3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3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3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3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3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3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3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3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3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3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3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3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3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3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3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3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3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3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3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3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3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3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3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3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3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Z270" s="1"/>
    </row>
    <row r="271" ht="15.75" customHeight="1">
      <c r="Z271" s="1"/>
    </row>
    <row r="272" ht="15.75" customHeight="1">
      <c r="Z272" s="1"/>
    </row>
    <row r="273" ht="15.75" customHeight="1">
      <c r="Z273" s="1"/>
    </row>
    <row r="274" ht="15.75" customHeight="1">
      <c r="Z274" s="1"/>
    </row>
    <row r="275" ht="15.75" customHeight="1">
      <c r="Z275" s="1"/>
    </row>
    <row r="276" ht="15.75" customHeight="1">
      <c r="Z276" s="1"/>
    </row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>
      <c r="A1008" s="116"/>
      <c r="B1008" s="116"/>
      <c r="C1008" s="116"/>
      <c r="D1008" s="116"/>
      <c r="E1008" s="116"/>
      <c r="F1008" s="116"/>
      <c r="G1008" s="116"/>
      <c r="H1008" s="116"/>
      <c r="I1008" s="116"/>
      <c r="J1008" s="116"/>
      <c r="K1008" s="116"/>
      <c r="L1008" s="116"/>
      <c r="M1008" s="116"/>
      <c r="N1008" s="116"/>
      <c r="O1008" s="116"/>
      <c r="P1008" s="116"/>
      <c r="Q1008" s="116"/>
      <c r="R1008" s="116"/>
      <c r="S1008" s="116"/>
      <c r="T1008" s="116"/>
      <c r="U1008" s="116"/>
      <c r="V1008" s="116"/>
      <c r="W1008" s="116"/>
      <c r="X1008" s="116"/>
      <c r="Y1008" s="116"/>
    </row>
    <row r="1009" ht="15.75" customHeight="1">
      <c r="A1009" s="116"/>
      <c r="B1009" s="116"/>
      <c r="C1009" s="116"/>
      <c r="D1009" s="116"/>
      <c r="E1009" s="116"/>
      <c r="F1009" s="116"/>
      <c r="G1009" s="116"/>
      <c r="H1009" s="116"/>
      <c r="I1009" s="116"/>
      <c r="J1009" s="116"/>
      <c r="K1009" s="116"/>
      <c r="L1009" s="116"/>
      <c r="M1009" s="116"/>
      <c r="N1009" s="116"/>
      <c r="O1009" s="116"/>
      <c r="P1009" s="116"/>
      <c r="Q1009" s="116"/>
      <c r="R1009" s="116"/>
      <c r="S1009" s="116"/>
      <c r="T1009" s="116"/>
      <c r="U1009" s="116"/>
      <c r="V1009" s="116"/>
      <c r="W1009" s="116"/>
      <c r="X1009" s="116"/>
      <c r="Y1009" s="116"/>
    </row>
    <row r="1010" ht="15.75" customHeight="1">
      <c r="A1010" s="116"/>
      <c r="B1010" s="116"/>
      <c r="C1010" s="116"/>
      <c r="D1010" s="116"/>
      <c r="E1010" s="116"/>
      <c r="F1010" s="116"/>
      <c r="G1010" s="116"/>
      <c r="H1010" s="116"/>
      <c r="I1010" s="116"/>
      <c r="J1010" s="116"/>
      <c r="K1010" s="116"/>
      <c r="L1010" s="116"/>
      <c r="M1010" s="116"/>
      <c r="N1010" s="116"/>
      <c r="O1010" s="116"/>
      <c r="P1010" s="116"/>
      <c r="Q1010" s="116"/>
      <c r="R1010" s="116"/>
      <c r="S1010" s="116"/>
      <c r="T1010" s="116"/>
      <c r="U1010" s="116"/>
      <c r="V1010" s="116"/>
      <c r="W1010" s="116"/>
      <c r="X1010" s="116"/>
      <c r="Y1010" s="116"/>
    </row>
    <row r="1011" ht="15.75" customHeight="1"/>
    <row r="1012" ht="15.75" customHeight="1"/>
    <row r="1013" ht="15.75" customHeight="1"/>
    <row r="1014" ht="15.75" customHeight="1"/>
    <row r="1015" ht="15.75" customHeight="1"/>
  </sheetData>
  <mergeCells count="28">
    <mergeCell ref="I13:K14"/>
    <mergeCell ref="I15:K15"/>
    <mergeCell ref="A9:K9"/>
    <mergeCell ref="E10:K10"/>
    <mergeCell ref="A13:B13"/>
    <mergeCell ref="C13:D13"/>
    <mergeCell ref="G13:G15"/>
    <mergeCell ref="H13:H14"/>
    <mergeCell ref="F14:F15"/>
    <mergeCell ref="B14:D14"/>
    <mergeCell ref="E14:E15"/>
    <mergeCell ref="B16:D16"/>
    <mergeCell ref="F63:F64"/>
    <mergeCell ref="H63:I64"/>
    <mergeCell ref="J63:J64"/>
    <mergeCell ref="K63:K64"/>
    <mergeCell ref="H68:I69"/>
    <mergeCell ref="J68:J69"/>
    <mergeCell ref="K68:K69"/>
    <mergeCell ref="F68:F69"/>
    <mergeCell ref="E71:F71"/>
    <mergeCell ref="B63:C63"/>
    <mergeCell ref="B64:C64"/>
    <mergeCell ref="B65:C65"/>
    <mergeCell ref="B66:C66"/>
    <mergeCell ref="B67:C67"/>
    <mergeCell ref="B68:C68"/>
    <mergeCell ref="B69:C69"/>
  </mergeCells>
  <conditionalFormatting sqref="B29:D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0" priority="2" operator="equal">
      <formula>1</formula>
    </cfRule>
  </conditionalFormatting>
  <conditionalFormatting sqref="B30:D30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0" priority="4" operator="equal">
      <formula>1</formula>
    </cfRule>
  </conditionalFormatting>
  <conditionalFormatting sqref="B31:D3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0" priority="6" operator="equal">
      <formula>1</formula>
    </cfRule>
  </conditionalFormatting>
  <conditionalFormatting sqref="J17:J69 K18:K68">
    <cfRule type="cellIs" dxfId="1" priority="7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